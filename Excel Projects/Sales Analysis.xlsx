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MUKESH\Documents\DATA ANALYTICS COURCE TOPS\excel\"/>
    </mc:Choice>
  </mc:AlternateContent>
  <xr:revisionPtr revIDLastSave="0" documentId="13_ncr:9_{E578B660-317F-444F-B397-D91FEB646AE9}" xr6:coauthVersionLast="47" xr6:coauthVersionMax="47" xr10:uidLastSave="{00000000-0000-0000-0000-000000000000}"/>
  <bookViews>
    <workbookView xWindow="-108" yWindow="-108" windowWidth="23256" windowHeight="12456" activeTab="2" xr2:uid="{0BDFB7BB-1DB5-4A54-9B41-CE796761609A}"/>
  </bookViews>
  <sheets>
    <sheet name="Sheet1" sheetId="2" r:id="rId1"/>
    <sheet name="KPI" sheetId="4" r:id="rId2"/>
    <sheet name="Dashboard" sheetId="5" r:id="rId3"/>
    <sheet name="Excel_Interview_Practice_Datase" sheetId="1" r:id="rId4"/>
  </sheets>
  <definedNames>
    <definedName name="_xlchart.v5.0" hidden="1">Sheet1!$D$3</definedName>
    <definedName name="_xlchart.v5.1" hidden="1">Sheet1!$D$4:$D$8</definedName>
    <definedName name="_xlchart.v5.10" hidden="1">Sheet1!$E$3</definedName>
    <definedName name="_xlchart.v5.11" hidden="1">Sheet1!$E$4:$E$8</definedName>
    <definedName name="_xlchart.v5.2" hidden="1">Sheet1!$E$3</definedName>
    <definedName name="_xlchart.v5.3" hidden="1">Sheet1!$E$4:$E$8</definedName>
    <definedName name="_xlchart.v5.4" hidden="1">Sheet1!$D$3</definedName>
    <definedName name="_xlchart.v5.5" hidden="1">Sheet1!$D$4:$D$8</definedName>
    <definedName name="_xlchart.v5.6" hidden="1">Sheet1!$E$3</definedName>
    <definedName name="_xlchart.v5.7" hidden="1">Sheet1!$E$4:$E$8</definedName>
    <definedName name="_xlchart.v5.8" hidden="1">Sheet1!$D$3</definedName>
    <definedName name="_xlchart.v5.9" hidden="1">Sheet1!$D$4:$D$8</definedName>
    <definedName name="Slicer_Category">#N/A</definedName>
    <definedName name="Slicer_Region">#N/A</definedName>
  </definedNames>
  <calcPr calcId="0"/>
  <pivotCaches>
    <pivotCache cacheId="2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2" l="1"/>
  <c r="E5" i="2"/>
  <c r="E6" i="2"/>
  <c r="E7" i="2"/>
  <c r="E8" i="2"/>
  <c r="D5" i="2"/>
  <c r="D6" i="2"/>
  <c r="D7" i="2"/>
  <c r="D8" i="2"/>
  <c r="D4" i="2"/>
</calcChain>
</file>

<file path=xl/sharedStrings.xml><?xml version="1.0" encoding="utf-8"?>
<sst xmlns="http://schemas.openxmlformats.org/spreadsheetml/2006/main" count="9070" uniqueCount="1063">
  <si>
    <t>Order ID</t>
  </si>
  <si>
    <t>Order Date</t>
  </si>
  <si>
    <t>State</t>
  </si>
  <si>
    <t>Region</t>
  </si>
  <si>
    <t>Category</t>
  </si>
  <si>
    <t>Product</t>
  </si>
  <si>
    <t>Quantity</t>
  </si>
  <si>
    <t>Unit Price</t>
  </si>
  <si>
    <t>Payment Type</t>
  </si>
  <si>
    <t>Customer Segment</t>
  </si>
  <si>
    <t>Shipping Method</t>
  </si>
  <si>
    <t>Delivery Status</t>
  </si>
  <si>
    <t>Total Price</t>
  </si>
  <si>
    <t>ORD10000</t>
  </si>
  <si>
    <t>Maharashtra</t>
  </si>
  <si>
    <t>South</t>
  </si>
  <si>
    <t>Electronics</t>
  </si>
  <si>
    <t>T-Shirt</t>
  </si>
  <si>
    <t>Cash</t>
  </si>
  <si>
    <t>Home Office</t>
  </si>
  <si>
    <t>Same Day</t>
  </si>
  <si>
    <t>Returned</t>
  </si>
  <si>
    <t>ORD10001</t>
  </si>
  <si>
    <t>Standard</t>
  </si>
  <si>
    <t>Delivered</t>
  </si>
  <si>
    <t>ORD10002</t>
  </si>
  <si>
    <t>Karnataka</t>
  </si>
  <si>
    <t>Clothing</t>
  </si>
  <si>
    <t>Laptop</t>
  </si>
  <si>
    <t>Card</t>
  </si>
  <si>
    <t>Consumer</t>
  </si>
  <si>
    <t>ORD10003</t>
  </si>
  <si>
    <t>Tamil Nadu</t>
  </si>
  <si>
    <t>Pending</t>
  </si>
  <si>
    <t>ORD10004</t>
  </si>
  <si>
    <t>Chair</t>
  </si>
  <si>
    <t>UPI</t>
  </si>
  <si>
    <t>Express</t>
  </si>
  <si>
    <t>ORD10005</t>
  </si>
  <si>
    <t>Telangana</t>
  </si>
  <si>
    <t>West</t>
  </si>
  <si>
    <t>Corporate</t>
  </si>
  <si>
    <t>ORD10006</t>
  </si>
  <si>
    <t>North</t>
  </si>
  <si>
    <t>Furniture</t>
  </si>
  <si>
    <t>ORD10007</t>
  </si>
  <si>
    <t>Delhi</t>
  </si>
  <si>
    <t>Table</t>
  </si>
  <si>
    <t>ORD10008</t>
  </si>
  <si>
    <t>Mobile</t>
  </si>
  <si>
    <t>Net Banking</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</si>
  <si>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</si>
  <si>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</si>
  <si>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</si>
  <si>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</si>
  <si>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</si>
  <si>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</si>
  <si>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</si>
  <si>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</si>
  <si>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</si>
  <si>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</si>
  <si>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</si>
  <si>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</si>
  <si>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</si>
  <si>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</si>
  <si>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</si>
  <si>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</si>
  <si>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</si>
  <si>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</si>
  <si>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</si>
  <si>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</si>
  <si>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</si>
  <si>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</si>
  <si>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</si>
  <si>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</si>
  <si>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</si>
  <si>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</si>
  <si>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</si>
  <si>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</si>
  <si>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</si>
  <si>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</si>
  <si>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</si>
  <si>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</si>
  <si>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</si>
  <si>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</si>
  <si>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</si>
  <si>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</si>
  <si>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</si>
  <si>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</si>
  <si>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</si>
  <si>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</si>
  <si>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</si>
  <si>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</si>
  <si>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</si>
  <si>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</si>
  <si>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</si>
  <si>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</si>
  <si>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</si>
  <si>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</si>
  <si>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</si>
  <si>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</si>
  <si>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</si>
  <si>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</si>
  <si>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</si>
  <si>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</si>
  <si>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</si>
  <si>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</si>
  <si>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</si>
  <si>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</si>
  <si>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</si>
  <si>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</si>
  <si>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</si>
  <si>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</si>
  <si>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</si>
  <si>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</si>
  <si>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</si>
  <si>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</si>
  <si>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</si>
  <si>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</si>
  <si>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</si>
  <si>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</si>
  <si>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</si>
  <si>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</si>
  <si>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</si>
  <si>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</si>
  <si>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</si>
  <si>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</si>
  <si>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</si>
  <si>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</si>
  <si>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</si>
  <si>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</si>
  <si>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</si>
  <si>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</si>
  <si>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</si>
  <si>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</si>
  <si>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</si>
  <si>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</si>
  <si>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</si>
  <si>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</si>
  <si>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</si>
  <si>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</si>
  <si>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</si>
  <si>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</si>
  <si>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</si>
  <si>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</si>
  <si>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</si>
  <si>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</si>
  <si>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</si>
  <si>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</si>
  <si>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</si>
  <si>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</si>
  <si>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</si>
  <si>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</si>
  <si>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</si>
  <si>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</si>
  <si>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</si>
  <si>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</si>
  <si>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</si>
  <si>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</si>
  <si>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</si>
  <si>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</si>
  <si>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</si>
  <si>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</si>
  <si>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</si>
  <si>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</si>
  <si>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</si>
  <si>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</si>
  <si>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</si>
  <si>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</si>
  <si>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</si>
  <si>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</si>
  <si>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</si>
  <si>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</si>
  <si>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</si>
  <si>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</si>
  <si>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</si>
  <si>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</si>
  <si>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</si>
  <si>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</si>
  <si>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</si>
  <si>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</si>
  <si>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</si>
  <si>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</si>
  <si>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</si>
  <si>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</si>
  <si>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</si>
  <si>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</si>
  <si>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</si>
  <si>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</si>
  <si>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</si>
  <si>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</si>
  <si>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</si>
  <si>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</si>
  <si>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</si>
  <si>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</si>
  <si>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</si>
  <si>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</si>
  <si>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</si>
  <si>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</si>
  <si>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</si>
  <si>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</si>
  <si>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</si>
  <si>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</si>
  <si>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</si>
  <si>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</si>
  <si>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</si>
  <si>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</si>
  <si>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</si>
  <si>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</si>
  <si>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</si>
  <si>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</si>
  <si>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</si>
  <si>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</si>
  <si>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</si>
  <si>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</si>
  <si>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</si>
  <si>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</si>
  <si>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</si>
  <si>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</si>
  <si>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</si>
  <si>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</si>
  <si>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</si>
  <si>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</si>
  <si>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</si>
  <si>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</si>
  <si>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</si>
  <si>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</si>
  <si>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</si>
  <si>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</si>
  <si>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</si>
  <si>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</si>
  <si>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</si>
  <si>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</si>
  <si>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</si>
  <si>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</si>
  <si>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</si>
  <si>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</si>
  <si>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</si>
  <si>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</si>
  <si>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</si>
  <si>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</si>
  <si>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</si>
  <si>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</si>
  <si>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</si>
  <si>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</si>
  <si>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</si>
  <si>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</si>
  <si>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</si>
  <si>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</si>
  <si>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</si>
  <si>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</si>
  <si>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</si>
  <si>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</si>
  <si>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</si>
  <si>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</si>
  <si>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</si>
  <si>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</si>
  <si>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</si>
  <si>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</si>
  <si>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</si>
  <si>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</si>
  <si>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</si>
  <si>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</si>
  <si>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</si>
  <si>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</si>
  <si>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</si>
  <si>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</si>
  <si>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</si>
  <si>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</si>
  <si>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</si>
  <si>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</si>
  <si>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</si>
  <si>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</si>
  <si>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</si>
  <si>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</si>
  <si>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</si>
  <si>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</si>
  <si>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</si>
  <si>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</si>
  <si>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</si>
  <si>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</si>
  <si>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</si>
  <si>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</si>
  <si>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</si>
  <si>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</si>
  <si>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</si>
  <si>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</si>
  <si>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</si>
  <si>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</si>
  <si>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</si>
  <si>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</si>
  <si>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</si>
  <si>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</si>
  <si>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</si>
  <si>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</si>
  <si>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</si>
  <si>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</si>
  <si>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</si>
  <si>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</si>
  <si>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</si>
  <si>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</si>
  <si>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</si>
  <si>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</si>
  <si>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</si>
  <si>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</si>
  <si>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</si>
  <si>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</si>
  <si>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</si>
  <si>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</si>
  <si>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</si>
  <si>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</si>
  <si>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</si>
  <si>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</si>
  <si>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</si>
  <si>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</si>
  <si>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</si>
  <si>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</si>
  <si>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</si>
  <si>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</si>
  <si>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</si>
  <si>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</si>
  <si>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</si>
  <si>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</si>
  <si>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</si>
  <si>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</si>
  <si>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</si>
  <si>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</si>
  <si>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</si>
  <si>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</si>
  <si>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</si>
  <si>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</si>
  <si>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</si>
  <si>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</si>
  <si>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</si>
  <si>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</si>
  <si>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</si>
  <si>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</si>
  <si>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</si>
  <si>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</si>
  <si>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</si>
  <si>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</si>
  <si>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</si>
  <si>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</si>
  <si>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</si>
  <si>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</si>
  <si>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</si>
  <si>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</si>
  <si>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</si>
  <si>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</si>
  <si>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</si>
  <si>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</si>
  <si>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</si>
  <si>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</si>
  <si>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</si>
  <si>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</si>
  <si>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</si>
  <si>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</si>
  <si>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</si>
  <si>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</si>
  <si>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</si>
  <si>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</si>
  <si>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</si>
  <si>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</si>
  <si>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</si>
  <si>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</si>
  <si>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</si>
  <si>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</si>
  <si>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</si>
  <si>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</si>
  <si>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</si>
  <si>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</si>
  <si>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</si>
  <si>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</si>
  <si>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</si>
  <si>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</si>
  <si>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</si>
  <si>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</si>
  <si>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</si>
  <si>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</si>
  <si>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</si>
  <si>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</si>
  <si>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</si>
  <si>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</si>
  <si>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</si>
  <si>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</si>
  <si>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</si>
  <si>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</si>
  <si>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</si>
  <si>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</si>
  <si>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</si>
  <si>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</si>
  <si>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</si>
  <si>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</si>
  <si>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</si>
  <si>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</si>
  <si>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</si>
  <si>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</si>
  <si>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</si>
  <si>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</si>
  <si>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</si>
  <si>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</si>
  <si>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</si>
  <si>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</si>
  <si>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</si>
  <si>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</si>
  <si>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</si>
  <si>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</si>
  <si>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</si>
  <si>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</si>
  <si>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</si>
  <si>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</si>
  <si>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</si>
  <si>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</si>
  <si>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</si>
  <si>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</si>
  <si>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</si>
  <si>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</si>
  <si>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</si>
  <si>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</si>
  <si>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</si>
  <si>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</si>
  <si>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</si>
  <si>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</si>
  <si>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</si>
  <si>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</si>
  <si>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</si>
  <si>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</si>
  <si>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</si>
  <si>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</si>
  <si>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</si>
  <si>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</si>
  <si>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</si>
  <si>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</si>
  <si>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</si>
  <si>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</si>
  <si>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</si>
  <si>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</si>
  <si>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</si>
  <si>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</si>
  <si>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</si>
  <si>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</si>
  <si>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</si>
  <si>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</si>
  <si>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</si>
  <si>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</si>
  <si>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</si>
  <si>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</si>
  <si>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</si>
  <si>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</si>
  <si>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</si>
  <si>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</si>
  <si>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</si>
  <si>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</si>
  <si>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</si>
  <si>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</si>
  <si>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</si>
  <si>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</si>
  <si>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</si>
  <si>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</si>
  <si>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</si>
  <si>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</si>
  <si>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</si>
  <si>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</si>
  <si>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</si>
  <si>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</si>
  <si>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</si>
  <si>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</si>
  <si>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</si>
  <si>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</si>
  <si>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</si>
  <si>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</si>
  <si>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</si>
  <si>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</si>
  <si>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</si>
  <si>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</si>
  <si>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</si>
  <si>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</si>
  <si>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</si>
  <si>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</si>
  <si>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</si>
  <si>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</si>
  <si>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</si>
  <si>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</si>
  <si>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</si>
  <si>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</si>
  <si>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</si>
  <si>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</si>
  <si>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</si>
  <si>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</si>
  <si>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</si>
  <si>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</si>
  <si>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</si>
  <si>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</si>
  <si>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</si>
  <si>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</si>
  <si>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</si>
  <si>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</si>
  <si>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</si>
  <si>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</si>
  <si>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</si>
  <si>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</si>
  <si>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</si>
  <si>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</si>
  <si>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</si>
  <si>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</si>
  <si>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</si>
  <si>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</si>
  <si>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</si>
  <si>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</si>
  <si>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</si>
  <si>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</si>
  <si>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</si>
  <si>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</si>
  <si>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</si>
  <si>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</si>
  <si>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</si>
  <si>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</si>
  <si>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</si>
  <si>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</si>
  <si>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</si>
  <si>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</si>
  <si>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</si>
  <si>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</si>
  <si>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</si>
  <si>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</si>
  <si>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</si>
  <si>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</si>
  <si>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</si>
  <si>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</si>
  <si>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</si>
  <si>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</si>
  <si>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</si>
  <si>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</si>
  <si>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</si>
  <si>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</si>
  <si>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</si>
  <si>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</si>
  <si>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</si>
  <si>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</si>
  <si>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</si>
  <si>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</si>
  <si>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</si>
  <si>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</si>
  <si>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</si>
  <si>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</si>
  <si>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</si>
  <si>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</si>
  <si>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</si>
  <si>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</si>
  <si>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</si>
  <si>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</si>
  <si>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</si>
  <si>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</si>
  <si>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</si>
  <si>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</si>
  <si>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</si>
  <si>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</si>
  <si>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</si>
  <si>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</si>
  <si>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</si>
  <si>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</si>
  <si>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</si>
  <si>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</si>
  <si>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</si>
  <si>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</si>
  <si>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</si>
  <si>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</si>
  <si>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</si>
  <si>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</si>
  <si>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</si>
  <si>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</si>
  <si>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</si>
  <si>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</si>
  <si>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</si>
  <si>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</si>
  <si>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</si>
  <si>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</si>
  <si>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</si>
  <si>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</si>
  <si>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</si>
  <si>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</si>
  <si>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</si>
  <si>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</si>
  <si>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</si>
  <si>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</si>
  <si>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</si>
  <si>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</si>
  <si>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</si>
  <si>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</si>
  <si>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</si>
  <si>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</si>
  <si>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</si>
  <si>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</si>
  <si>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</si>
  <si>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</si>
  <si>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</si>
  <si>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</si>
  <si>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</si>
  <si>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</si>
  <si>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</si>
  <si>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</si>
  <si>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</si>
  <si>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</si>
  <si>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</si>
  <si>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</si>
  <si>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</si>
  <si>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</si>
  <si>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</si>
  <si>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</si>
  <si>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</si>
  <si>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</si>
  <si>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</si>
  <si>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</si>
  <si>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</si>
  <si>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</si>
  <si>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</si>
  <si>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</si>
  <si>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</si>
  <si>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</si>
  <si>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</si>
  <si>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</si>
  <si>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</si>
  <si>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</si>
  <si>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</si>
  <si>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</si>
  <si>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</si>
  <si>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</si>
  <si>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</si>
  <si>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</si>
  <si>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</si>
  <si>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</si>
  <si>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</si>
  <si>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</si>
  <si>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</si>
  <si>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</si>
  <si>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</si>
  <si>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</si>
  <si>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</si>
  <si>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</si>
  <si>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</si>
  <si>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</si>
  <si>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</si>
  <si>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</si>
  <si>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</si>
  <si>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</si>
  <si>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</si>
  <si>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</si>
  <si>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</si>
  <si>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</si>
  <si>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</si>
  <si>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</si>
  <si>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</si>
  <si>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</si>
  <si>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</si>
  <si>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</si>
  <si>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</si>
  <si>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</si>
  <si>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</si>
  <si>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</si>
  <si>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</si>
  <si>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</si>
  <si>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</si>
  <si>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</si>
  <si>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</si>
  <si>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</si>
  <si>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</si>
  <si>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</si>
  <si>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</si>
  <si>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</si>
  <si>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</si>
  <si>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</si>
  <si>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</si>
  <si>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</si>
  <si>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</si>
  <si>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</si>
  <si>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</si>
  <si>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</si>
  <si>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</si>
  <si>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</si>
  <si>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</si>
  <si>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</si>
  <si>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</si>
  <si>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</si>
  <si>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</si>
  <si>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</si>
  <si>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</si>
  <si>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</si>
  <si>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</si>
  <si>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</si>
  <si>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</si>
  <si>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</si>
  <si>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</si>
  <si>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</si>
  <si>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</si>
  <si>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</si>
  <si>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</si>
  <si>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</si>
  <si>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</si>
  <si>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</si>
  <si>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</si>
  <si>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</si>
  <si>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</si>
  <si>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</si>
  <si>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</si>
  <si>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</si>
  <si>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</si>
  <si>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</si>
  <si>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</si>
  <si>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</si>
  <si>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</si>
  <si>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</si>
  <si>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</si>
  <si>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</si>
  <si>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</si>
  <si>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</si>
  <si>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</si>
  <si>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</si>
  <si>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</si>
  <si>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</si>
  <si>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</si>
  <si>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</si>
  <si>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</si>
  <si>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</si>
  <si>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</si>
  <si>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</si>
  <si>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</si>
  <si>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</si>
  <si>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</si>
  <si>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</si>
  <si>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</si>
  <si>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</si>
  <si>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</si>
  <si>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</si>
  <si>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</si>
  <si>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</si>
  <si>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</si>
  <si>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</si>
  <si>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</si>
  <si>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</si>
  <si>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</si>
  <si>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</si>
  <si>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</si>
  <si>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</si>
  <si>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</si>
  <si>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</si>
  <si>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</si>
  <si>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</si>
  <si>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</si>
  <si>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</si>
  <si>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</si>
  <si>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</si>
  <si>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</si>
  <si>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</si>
  <si>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</si>
  <si>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</si>
  <si>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</si>
  <si>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</si>
  <si>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</si>
  <si>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</si>
  <si>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</si>
  <si>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</si>
  <si>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</si>
  <si>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</si>
  <si>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</si>
  <si>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</si>
  <si>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</si>
  <si>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</si>
  <si>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</si>
  <si>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</si>
  <si>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</si>
  <si>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</si>
  <si>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</si>
  <si>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</si>
  <si>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</si>
  <si>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</si>
  <si>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</si>
  <si>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</si>
  <si>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</si>
  <si>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</si>
  <si>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</si>
  <si>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</si>
  <si>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</si>
  <si>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</si>
  <si>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</si>
  <si>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</si>
  <si>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</si>
  <si>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</si>
  <si>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</si>
  <si>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</si>
  <si>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</si>
  <si>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</si>
  <si>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</si>
  <si>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</si>
  <si>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</si>
  <si>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</si>
  <si>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</si>
  <si>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</si>
  <si>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</si>
  <si>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</si>
  <si>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</si>
  <si>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</si>
  <si>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</si>
  <si>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</si>
  <si>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</si>
  <si>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</si>
  <si>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</si>
  <si>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</si>
  <si>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</si>
  <si>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</si>
  <si>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</si>
  <si>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</si>
  <si>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</si>
  <si>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</si>
  <si>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</si>
  <si>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</si>
  <si>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</si>
  <si>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</si>
  <si>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</si>
  <si>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</si>
  <si>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</si>
  <si>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</si>
  <si>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</si>
  <si>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</si>
  <si>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</si>
  <si>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</si>
  <si>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</si>
  <si>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</si>
  <si>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</si>
  <si>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</si>
  <si>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</si>
  <si>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</si>
  <si>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</si>
  <si>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</si>
  <si>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</si>
  <si>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</si>
  <si>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</si>
  <si>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</si>
  <si>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</si>
  <si>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</si>
  <si>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</si>
  <si>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</si>
  <si>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</si>
  <si>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</si>
  <si>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</si>
  <si>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</si>
  <si>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</si>
  <si>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</si>
  <si>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</si>
  <si>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</si>
  <si>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</si>
  <si>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</si>
  <si>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</si>
  <si>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</si>
  <si>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</si>
  <si>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</si>
  <si>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</si>
  <si>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</si>
  <si>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</si>
  <si>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</si>
  <si>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</si>
  <si>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</si>
  <si>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</si>
  <si>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</si>
  <si>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</si>
  <si>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</si>
  <si>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</si>
  <si>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</si>
  <si>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</si>
  <si>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</si>
  <si>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</si>
  <si>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</si>
  <si>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</si>
  <si>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</si>
  <si>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</si>
  <si>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</si>
  <si>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</si>
  <si>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</si>
  <si>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</si>
  <si>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</si>
  <si>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</si>
  <si>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</si>
  <si>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</si>
  <si>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</si>
  <si>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</si>
  <si>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</si>
  <si>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</si>
  <si>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</si>
  <si>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</si>
  <si>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</si>
  <si>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</si>
  <si>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</si>
  <si>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</si>
  <si>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</si>
  <si>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</si>
  <si>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</si>
  <si>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</si>
  <si>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</si>
  <si>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</si>
  <si>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</si>
  <si>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</si>
  <si>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</si>
  <si>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</si>
  <si>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</si>
  <si>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</si>
  <si>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</si>
  <si>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</si>
  <si>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</si>
  <si>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</si>
  <si>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</si>
  <si>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</si>
  <si>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</si>
  <si>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</si>
  <si>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</si>
  <si>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</si>
  <si>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</si>
  <si>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</si>
  <si>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</si>
  <si>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</si>
  <si>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</si>
  <si>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</si>
  <si>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</si>
  <si>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</si>
  <si>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</si>
  <si>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</si>
  <si>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</si>
  <si>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</si>
  <si>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</si>
  <si>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</si>
  <si>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</si>
  <si>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</si>
  <si>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</si>
  <si>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</si>
  <si>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</si>
  <si>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</si>
  <si>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</si>
  <si>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</si>
  <si>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</si>
  <si>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</si>
  <si>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</si>
  <si>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</si>
  <si>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</si>
  <si>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</si>
  <si>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</si>
  <si>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</si>
  <si>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</si>
  <si>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</si>
  <si>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</si>
  <si>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</si>
  <si>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</si>
  <si>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</si>
  <si>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</si>
  <si>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</si>
  <si>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</si>
  <si>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</si>
  <si>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</si>
  <si>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</si>
  <si>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</si>
  <si>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</si>
  <si>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</si>
  <si>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</si>
  <si>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</si>
  <si>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</si>
  <si>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</si>
  <si>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</si>
  <si>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</si>
  <si>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</si>
  <si>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</si>
  <si>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</si>
  <si>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</si>
  <si>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</si>
  <si>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</si>
  <si>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</si>
  <si>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</si>
  <si>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</si>
  <si>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</si>
  <si>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</si>
  <si>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</si>
  <si>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</si>
  <si>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</si>
  <si>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</si>
  <si>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</si>
  <si>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</si>
  <si>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</si>
  <si>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</si>
  <si>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</si>
  <si>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</si>
  <si>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</si>
  <si>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</si>
  <si>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</si>
  <si>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</si>
  <si>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</si>
  <si>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</si>
  <si>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</si>
  <si>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</si>
  <si>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</si>
  <si>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</si>
  <si>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</si>
  <si>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</si>
  <si>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</si>
  <si>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</si>
  <si>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</si>
  <si>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</si>
  <si>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</si>
  <si>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</si>
  <si>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</si>
  <si>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</si>
  <si>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</si>
  <si>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</si>
  <si>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</si>
  <si>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</si>
  <si>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</si>
  <si>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</si>
  <si>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</si>
  <si>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</si>
  <si>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</si>
  <si>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</si>
  <si>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</si>
  <si>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</si>
  <si>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</si>
  <si>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</si>
  <si>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</si>
  <si>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</si>
  <si>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</si>
  <si>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</si>
  <si>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</si>
  <si>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</si>
  <si>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</si>
  <si>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</si>
  <si>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</si>
  <si>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</si>
  <si>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</si>
  <si>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</si>
  <si>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</si>
  <si>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</si>
  <si>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</si>
  <si>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</si>
  <si>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</si>
  <si>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</si>
  <si>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</si>
  <si>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</si>
  <si>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</si>
  <si>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</si>
  <si>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Discount Amount</t>
  </si>
  <si>
    <t>Row Labels</t>
  </si>
  <si>
    <t>Sum of Total Price</t>
  </si>
  <si>
    <t>Sum of Discount Amount</t>
  </si>
  <si>
    <t>Count of Order ID</t>
  </si>
  <si>
    <t>Sales</t>
  </si>
  <si>
    <t>Column Labels</t>
  </si>
  <si>
    <t>Count of Delivery Status</t>
  </si>
  <si>
    <t>Jan</t>
  </si>
  <si>
    <t>Feb</t>
  </si>
  <si>
    <t>Mar</t>
  </si>
  <si>
    <t>Apr</t>
  </si>
  <si>
    <t>May</t>
  </si>
  <si>
    <t>Jun</t>
  </si>
  <si>
    <t>Jul</t>
  </si>
  <si>
    <t>Aug</t>
  </si>
  <si>
    <t>Sep</t>
  </si>
  <si>
    <t>Oct</t>
  </si>
  <si>
    <t>Nov</t>
  </si>
  <si>
    <t>Dec</t>
  </si>
  <si>
    <t>Average of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</si>
</sst>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quot; M&quot;"/>
    <numFmt numFmtId="165" formatCode="#,##0,,&quot;M&quot;"/>
    <numFmt numFmtId="168" formatCode="\$#,##0,,&quot;M&quot;"/>
    <numFmt numFmtId="169" formatCode="\$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96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0" fontId="0" fillId="0" borderId="0" xfId="0" applyNumberFormat="1"/>
    <xf numFmtId="0" fontId="0" fillId="33" borderId="0" xfId="0" applyFill="1"/>
    <xf numFmtId="168"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0">
    <dxf>
      <font>
        <b/>
        <i val="0"/>
        <color theme="7" tint="0.39994506668294322"/>
      </font>
    </dxf>
    <dxf>
      <font>
        <b/>
        <i val="0"/>
        <color theme="7" tint="0.39994506668294322"/>
      </font>
      <fill>
        <patternFill>
          <bgColor rgb="FF455A64"/>
        </patternFill>
      </fill>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
      <numFmt numFmtId="0" formatCode="General"/>
    </dxf>
    <dxf>
      <numFmt numFmtId="14" formatCode="0.00%"/>
    </dxf>
    <dxf>
      <numFmt numFmtId="165" formatCode="#,##0,,&quot;M&quot;"/>
    </dxf>
    <dxf>
      <numFmt numFmtId="164" formatCode="#,##0,,&quot; M&quot;"/>
    </dxf>
    <dxf>
      <numFmt numFmtId="169" formatCode="\$0,&quot;K&quot;"/>
    </dxf>
    <dxf>
      <numFmt numFmtId="168" formatCode="\$#,##0,,&quot;M&quot;"/>
    </dxf>
    <dxf>
      <numFmt numFmtId="164" formatCode="#,##0,,&quot; M&quot;"/>
    </dxf>
  </dxfs>
  <tableStyles count="1" defaultTableStyle="TableStyleMedium2" defaultPivotStyle="PivotStyleLight16">
    <tableStyle name="Slicer Style 1" pivot="0" table="0" count="5" xr9:uid="{6A5F8D7C-289F-4F9B-840B-03F69D9ABBFC}">
      <tableStyleElement type="wholeTable" dxfId="1"/>
      <tableStyleElement type="headerRow" dxfId="0"/>
    </tableStyle>
  </tableStyles>
  <colors>
    <mruColors>
      <color rgb="FF455A64"/>
      <color rgb="FF00796B"/>
    </mruColors>
  </colors>
  <extLst>
    <ext xmlns:x14="http://schemas.microsoft.com/office/spreadsheetml/2009/9/main" uri="{46F421CA-312F-682f-3DD2-61675219B42D}">
      <x14:dxfs count="8">
        <dxf>
          <font>
            <color theme="7" tint="0.39994506668294322"/>
          </font>
        </dxf>
        <dxf>
          <font>
            <color theme="0" tint="-4.9989318521683403E-2"/>
          </font>
          <fill>
            <patternFill>
              <bgColor rgb="FF455A64"/>
            </patternFill>
          </fill>
        </dxf>
        <dxf>
          <font>
            <color theme="7" tint="0.39994506668294322"/>
          </font>
        </dxf>
        <dxf>
          <font>
            <color theme="7" tint="0.39994506668294322"/>
          </font>
        </dxf>
        <dxf>
          <font>
            <color theme="0" tint="-4.9989318521683403E-2"/>
          </font>
          <fill>
            <patternFill>
              <bgColor rgb="FF455A64"/>
            </patternFill>
          </fill>
        </dxf>
        <dxf>
          <font>
            <color theme="7" tint="0.39994506668294322"/>
          </font>
        </dxf>
        <dxf>
          <font>
            <color theme="7" tint="0.39994506668294322"/>
          </font>
        </dxf>
        <dxf>
          <font>
            <color theme="0" tint="-4.9989318521683403E-2"/>
          </font>
          <fill>
            <patternFill>
              <bgColor rgb="FF455A6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Practice.xlsx]Sheet1!PivotTable10</c:name>
    <c:fmtId val="4"/>
  </c:pivotSource>
  <c:chart>
    <c:title>
      <c:tx>
        <c:rich>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r>
              <a:rPr lang="en-US">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14965986394558E-2"/>
          <c:y val="0.26078066914498144"/>
          <c:w val="0.92517006802721091"/>
          <c:h val="0.62646674277239511"/>
        </c:manualLayout>
      </c:layout>
      <c:lineChart>
        <c:grouping val="standard"/>
        <c:varyColors val="0"/>
        <c:ser>
          <c:idx val="0"/>
          <c:order val="0"/>
          <c:tx>
            <c:strRef>
              <c:f>Sheet1!$B$40</c:f>
              <c:strCache>
                <c:ptCount val="1"/>
                <c:pt idx="0">
                  <c:v>Total</c:v>
                </c:pt>
              </c:strCache>
            </c:strRef>
          </c:tx>
          <c:spPr>
            <a:ln w="28575" cap="rnd">
              <a:solidFill>
                <a:schemeClr val="tx2">
                  <a:lumMod val="20000"/>
                  <a:lumOff val="8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Sheet1!$B$41:$B$52</c:f>
              <c:numCache>
                <c:formatCode>#,##0,,"M"</c:formatCode>
                <c:ptCount val="12"/>
                <c:pt idx="0">
                  <c:v>8798024.4999999963</c:v>
                </c:pt>
                <c:pt idx="1">
                  <c:v>10311865.349999996</c:v>
                </c:pt>
                <c:pt idx="2">
                  <c:v>6529139.2000000002</c:v>
                </c:pt>
                <c:pt idx="3">
                  <c:v>10759527.099999994</c:v>
                </c:pt>
                <c:pt idx="4">
                  <c:v>10895441.399999995</c:v>
                </c:pt>
                <c:pt idx="5">
                  <c:v>7768815.25</c:v>
                </c:pt>
                <c:pt idx="6">
                  <c:v>9256914.6499999966</c:v>
                </c:pt>
                <c:pt idx="7">
                  <c:v>11215111.049999997</c:v>
                </c:pt>
                <c:pt idx="8">
                  <c:v>9087438.049999997</c:v>
                </c:pt>
                <c:pt idx="9">
                  <c:v>9234476.6499999966</c:v>
                </c:pt>
                <c:pt idx="10">
                  <c:v>9426533.4999999925</c:v>
                </c:pt>
                <c:pt idx="11">
                  <c:v>10443545.999999993</c:v>
                </c:pt>
              </c:numCache>
            </c:numRef>
          </c:val>
          <c:smooth val="1"/>
          <c:extLst>
            <c:ext xmlns:c16="http://schemas.microsoft.com/office/drawing/2014/chart" uri="{C3380CC4-5D6E-409C-BE32-E72D297353CC}">
              <c16:uniqueId val="{00000000-3AE8-4B1F-9ADF-49D8A55418D4}"/>
            </c:ext>
          </c:extLst>
        </c:ser>
        <c:dLbls>
          <c:dLblPos val="t"/>
          <c:showLegendKey val="0"/>
          <c:showVal val="1"/>
          <c:showCatName val="0"/>
          <c:showSerName val="0"/>
          <c:showPercent val="0"/>
          <c:showBubbleSize val="0"/>
        </c:dLbls>
        <c:smooth val="0"/>
        <c:axId val="699515231"/>
        <c:axId val="699517151"/>
      </c:lineChart>
      <c:catAx>
        <c:axId val="69951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699517151"/>
        <c:crosses val="autoZero"/>
        <c:auto val="1"/>
        <c:lblAlgn val="ctr"/>
        <c:lblOffset val="100"/>
        <c:noMultiLvlLbl val="0"/>
      </c:catAx>
      <c:valAx>
        <c:axId val="699517151"/>
        <c:scaling>
          <c:orientation val="minMax"/>
        </c:scaling>
        <c:delete val="1"/>
        <c:axPos val="l"/>
        <c:numFmt formatCode="#,##0,,&quot;M&quot;" sourceLinked="1"/>
        <c:majorTickMark val="none"/>
        <c:minorTickMark val="none"/>
        <c:tickLblPos val="nextTo"/>
        <c:crossAx val="69951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Practice.xlsx]Sheet1!PivotTable7</c:name>
    <c:fmtId val="10"/>
  </c:pivotSource>
  <c:chart>
    <c:title>
      <c:tx>
        <c:rich>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Most Returned Prduct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Sheet1!$B$31:$B$32</c:f>
              <c:strCache>
                <c:ptCount val="1"/>
                <c:pt idx="0">
                  <c:v>Returned</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Sheet1!$A$33:$A$37</c:f>
              <c:strCache>
                <c:ptCount val="5"/>
                <c:pt idx="0">
                  <c:v>Chair</c:v>
                </c:pt>
                <c:pt idx="1">
                  <c:v>Laptop</c:v>
                </c:pt>
                <c:pt idx="2">
                  <c:v>Mobile</c:v>
                </c:pt>
                <c:pt idx="3">
                  <c:v>Table</c:v>
                </c:pt>
                <c:pt idx="4">
                  <c:v>T-Shirt</c:v>
                </c:pt>
              </c:strCache>
            </c:strRef>
          </c:cat>
          <c:val>
            <c:numRef>
              <c:f>Sheet1!$B$33:$B$37</c:f>
              <c:numCache>
                <c:formatCode>General</c:formatCode>
                <c:ptCount val="5"/>
                <c:pt idx="0">
                  <c:v>66</c:v>
                </c:pt>
                <c:pt idx="1">
                  <c:v>72</c:v>
                </c:pt>
                <c:pt idx="2">
                  <c:v>66</c:v>
                </c:pt>
                <c:pt idx="3">
                  <c:v>74</c:v>
                </c:pt>
                <c:pt idx="4">
                  <c:v>75</c:v>
                </c:pt>
              </c:numCache>
            </c:numRef>
          </c:val>
          <c:extLst>
            <c:ext xmlns:c16="http://schemas.microsoft.com/office/drawing/2014/chart" uri="{C3380CC4-5D6E-409C-BE32-E72D297353CC}">
              <c16:uniqueId val="{00000000-573E-464F-A090-D6741DA6A8A3}"/>
            </c:ext>
          </c:extLst>
        </c:ser>
        <c:dLbls>
          <c:dLblPos val="outEnd"/>
          <c:showLegendKey val="0"/>
          <c:showVal val="1"/>
          <c:showCatName val="0"/>
          <c:showSerName val="0"/>
          <c:showPercent val="0"/>
          <c:showBubbleSize val="0"/>
        </c:dLbls>
        <c:gapWidth val="182"/>
        <c:axId val="697758239"/>
        <c:axId val="691673135"/>
      </c:barChart>
      <c:catAx>
        <c:axId val="69775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FFFF00"/>
                </a:solidFill>
                <a:latin typeface="+mn-lt"/>
                <a:ea typeface="+mn-ea"/>
                <a:cs typeface="+mn-cs"/>
              </a:defRPr>
            </a:pPr>
            <a:endParaRPr lang="en-US"/>
          </a:p>
        </c:txPr>
        <c:crossAx val="691673135"/>
        <c:crosses val="autoZero"/>
        <c:auto val="1"/>
        <c:lblAlgn val="ctr"/>
        <c:lblOffset val="100"/>
        <c:noMultiLvlLbl val="0"/>
      </c:catAx>
      <c:valAx>
        <c:axId val="691673135"/>
        <c:scaling>
          <c:orientation val="minMax"/>
        </c:scaling>
        <c:delete val="1"/>
        <c:axPos val="b"/>
        <c:numFmt formatCode="General" sourceLinked="1"/>
        <c:majorTickMark val="none"/>
        <c:minorTickMark val="none"/>
        <c:tickLblPos val="nextTo"/>
        <c:crossAx val="69775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Practice.xlsx]Sheet1!PivotTable3</c:name>
    <c:fmtId val="4"/>
  </c:pivotSource>
  <c:chart>
    <c:title>
      <c:tx>
        <c:rich>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Customer type Sale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0578318428759277"/>
          <c:y val="0.27210663448090888"/>
          <c:w val="0.32941230400092203"/>
          <c:h val="0.60231957775351075"/>
        </c:manualLayout>
      </c:layout>
      <c:doughnutChart>
        <c:varyColors val="1"/>
        <c:ser>
          <c:idx val="0"/>
          <c:order val="0"/>
          <c:tx>
            <c:strRef>
              <c:f>Sheet1!$B$17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15-4D4C-A022-D8BC7E86F0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15-4D4C-A022-D8BC7E86F0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15-4D4C-A022-D8BC7E86F0C8}"/>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Sheet1!$A$18:$A$20</c:f>
              <c:strCache>
                <c:ptCount val="3"/>
                <c:pt idx="0">
                  <c:v>Consumer</c:v>
                </c:pt>
                <c:pt idx="1">
                  <c:v>Corporate</c:v>
                </c:pt>
                <c:pt idx="2">
                  <c:v>Home Office</c:v>
                </c:pt>
              </c:strCache>
            </c:strRef>
          </c:cat>
          <c:val>
            <c:numRef>
              <c:f>Sheet1!$B$18:$B$20</c:f>
              <c:numCache>
                <c:formatCode>0.00%</c:formatCode>
                <c:ptCount val="3"/>
                <c:pt idx="0">
                  <c:v>0.34010985474318939</c:v>
                </c:pt>
                <c:pt idx="1">
                  <c:v>0.3350382328022049</c:v>
                </c:pt>
                <c:pt idx="2">
                  <c:v>0.32485191245460587</c:v>
                </c:pt>
              </c:numCache>
            </c:numRef>
          </c:val>
          <c:extLst>
            <c:ext xmlns:c16="http://schemas.microsoft.com/office/drawing/2014/chart" uri="{C3380CC4-5D6E-409C-BE32-E72D297353CC}">
              <c16:uniqueId val="{00000006-7515-4D4C-A022-D8BC7E86F0C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Practice.xlsx]Sheet1!PivotTable4</c:name>
    <c:fmtId val="3"/>
  </c:pivotSource>
  <c:chart>
    <c:title>
      <c:tx>
        <c:rich>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Most used Payment Method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699727103648E-2"/>
          <c:y val="0.25191798941798949"/>
          <c:w val="0.85456536475986855"/>
          <c:h val="0.60126807065783439"/>
        </c:manualLayout>
      </c:layout>
      <c:barChart>
        <c:barDir val="col"/>
        <c:grouping val="clustered"/>
        <c:varyColors val="0"/>
        <c:ser>
          <c:idx val="0"/>
          <c:order val="0"/>
          <c:tx>
            <c:strRef>
              <c:f>Sheet1!$B$24</c:f>
              <c:strCache>
                <c:ptCount val="1"/>
                <c:pt idx="0">
                  <c:v>Total</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Sheet1!$A$25:$A$28</c:f>
              <c:strCache>
                <c:ptCount val="4"/>
                <c:pt idx="0">
                  <c:v>Card</c:v>
                </c:pt>
                <c:pt idx="1">
                  <c:v>Cash</c:v>
                </c:pt>
                <c:pt idx="2">
                  <c:v>Net Banking</c:v>
                </c:pt>
                <c:pt idx="3">
                  <c:v>UPI</c:v>
                </c:pt>
              </c:strCache>
            </c:strRef>
          </c:cat>
          <c:val>
            <c:numRef>
              <c:f>Sheet1!$B$25:$B$28</c:f>
              <c:numCache>
                <c:formatCode>General</c:formatCode>
                <c:ptCount val="4"/>
                <c:pt idx="0">
                  <c:v>257</c:v>
                </c:pt>
                <c:pt idx="1">
                  <c:v>253</c:v>
                </c:pt>
                <c:pt idx="2">
                  <c:v>262</c:v>
                </c:pt>
                <c:pt idx="3">
                  <c:v>228</c:v>
                </c:pt>
              </c:numCache>
            </c:numRef>
          </c:val>
          <c:extLst>
            <c:ext xmlns:c16="http://schemas.microsoft.com/office/drawing/2014/chart" uri="{C3380CC4-5D6E-409C-BE32-E72D297353CC}">
              <c16:uniqueId val="{00000000-048E-4108-8E22-9AB0BD910E55}"/>
            </c:ext>
          </c:extLst>
        </c:ser>
        <c:dLbls>
          <c:dLblPos val="outEnd"/>
          <c:showLegendKey val="0"/>
          <c:showVal val="1"/>
          <c:showCatName val="0"/>
          <c:showSerName val="0"/>
          <c:showPercent val="0"/>
          <c:showBubbleSize val="0"/>
        </c:dLbls>
        <c:gapWidth val="219"/>
        <c:overlap val="-27"/>
        <c:axId val="287718863"/>
        <c:axId val="287732303"/>
      </c:barChart>
      <c:catAx>
        <c:axId val="28771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FFFF00"/>
                </a:solidFill>
                <a:latin typeface="+mn-lt"/>
                <a:ea typeface="+mn-ea"/>
                <a:cs typeface="+mn-cs"/>
              </a:defRPr>
            </a:pPr>
            <a:endParaRPr lang="en-US"/>
          </a:p>
        </c:txPr>
        <c:crossAx val="287732303"/>
        <c:crosses val="autoZero"/>
        <c:auto val="1"/>
        <c:lblAlgn val="ctr"/>
        <c:lblOffset val="100"/>
        <c:noMultiLvlLbl val="0"/>
      </c:catAx>
      <c:valAx>
        <c:axId val="28773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1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Practice.xlsx]Sheet1!PivotTable2</c:name>
    <c:fmtId val="3"/>
  </c:pivotSource>
  <c:chart>
    <c:title>
      <c:tx>
        <c:rich>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Categorical Wise Total DIscount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90262970859983E-2"/>
          <c:y val="0.28868312757201647"/>
          <c:w val="0.92181947405828002"/>
          <c:h val="0.58650022142293945"/>
        </c:manualLayout>
      </c:layout>
      <c:barChart>
        <c:barDir val="col"/>
        <c:grouping val="clustered"/>
        <c:varyColors val="0"/>
        <c:ser>
          <c:idx val="0"/>
          <c:order val="0"/>
          <c:tx>
            <c:strRef>
              <c:f>Sheet1!$B$11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Sheet1!$A$12:$A$14</c:f>
              <c:strCache>
                <c:ptCount val="3"/>
                <c:pt idx="0">
                  <c:v>Clothing</c:v>
                </c:pt>
                <c:pt idx="1">
                  <c:v>Electronics</c:v>
                </c:pt>
                <c:pt idx="2">
                  <c:v>Furniture</c:v>
                </c:pt>
              </c:strCache>
            </c:strRef>
          </c:cat>
          <c:val>
            <c:numRef>
              <c:f>Sheet1!$B$12:$B$14</c:f>
              <c:numCache>
                <c:formatCode>#,##0,," M"</c:formatCode>
                <c:ptCount val="3"/>
                <c:pt idx="0">
                  <c:v>4150656.399999998</c:v>
                </c:pt>
                <c:pt idx="1">
                  <c:v>4522716.6499999957</c:v>
                </c:pt>
                <c:pt idx="2">
                  <c:v>3705797.2499999995</c:v>
                </c:pt>
              </c:numCache>
            </c:numRef>
          </c:val>
          <c:extLst>
            <c:ext xmlns:c16="http://schemas.microsoft.com/office/drawing/2014/chart" uri="{C3380CC4-5D6E-409C-BE32-E72D297353CC}">
              <c16:uniqueId val="{00000000-4B99-4FF8-AC4B-C56D5294B276}"/>
            </c:ext>
          </c:extLst>
        </c:ser>
        <c:dLbls>
          <c:dLblPos val="outEnd"/>
          <c:showLegendKey val="0"/>
          <c:showVal val="1"/>
          <c:showCatName val="0"/>
          <c:showSerName val="0"/>
          <c:showPercent val="0"/>
          <c:showBubbleSize val="0"/>
        </c:dLbls>
        <c:gapWidth val="219"/>
        <c:overlap val="-27"/>
        <c:axId val="583788015"/>
        <c:axId val="583788495"/>
      </c:barChart>
      <c:catAx>
        <c:axId val="5837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FFFF00"/>
                </a:solidFill>
                <a:latin typeface="+mn-lt"/>
                <a:ea typeface="+mn-ea"/>
                <a:cs typeface="+mn-cs"/>
              </a:defRPr>
            </a:pPr>
            <a:endParaRPr lang="en-US"/>
          </a:p>
        </c:txPr>
        <c:crossAx val="583788495"/>
        <c:crosses val="autoZero"/>
        <c:auto val="1"/>
        <c:lblAlgn val="ctr"/>
        <c:lblOffset val="100"/>
        <c:noMultiLvlLbl val="0"/>
      </c:catAx>
      <c:valAx>
        <c:axId val="583788495"/>
        <c:scaling>
          <c:orientation val="minMax"/>
        </c:scaling>
        <c:delete val="1"/>
        <c:axPos val="l"/>
        <c:numFmt formatCode="#,##0,,&quot; M&quot;" sourceLinked="1"/>
        <c:majorTickMark val="none"/>
        <c:minorTickMark val="none"/>
        <c:tickLblPos val="nextTo"/>
        <c:crossAx val="5837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kern="1200" spc="0" baseline="0" dirty="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State</a:t>
            </a:r>
            <a:r>
              <a:rPr lang="en-US" sz="1400" b="0" i="0" u="none" strike="noStrike" baseline="0" dirty="0">
                <a:solidFill>
                  <a:sysClr val="windowText" lastClr="000000">
                    <a:lumMod val="65000"/>
                    <a:lumOff val="35000"/>
                  </a:sysClr>
                </a:solidFill>
                <a:latin typeface="Calibri" panose="020F0502020204030204"/>
              </a:rPr>
              <a:t> </a:t>
            </a:r>
            <a:r>
              <a:rPr lang="en-US" sz="1400" b="0" i="0" u="none" strike="noStrike" kern="1200" spc="0" baseline="0" dirty="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wise</a:t>
            </a:r>
            <a:r>
              <a:rPr lang="en-US" sz="1400" b="0" i="0" u="none" strike="noStrike" baseline="0" dirty="0">
                <a:solidFill>
                  <a:sysClr val="windowText" lastClr="000000">
                    <a:lumMod val="65000"/>
                    <a:lumOff val="35000"/>
                  </a:sysClr>
                </a:solidFill>
                <a:latin typeface="Calibri" panose="020F0502020204030204"/>
              </a:rPr>
              <a:t> </a:t>
            </a:r>
            <a:r>
              <a:rPr lang="en-US" sz="1400" b="0" i="0" u="none" strike="noStrike" kern="1200" spc="0" baseline="0" dirty="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rPr>
              <a:t>Sales</a:t>
            </a:r>
          </a:p>
        </cx:rich>
      </cx:tx>
    </cx:title>
    <cx:plotArea>
      <cx:plotAreaRegion>
        <cx:series layoutId="regionMap" uniqueId="{9CA01D6A-97CE-464F-9FC1-3FDDCD2D708C}">
          <cx:tx>
            <cx:txData>
              <cx:f>_xlchart.v5.2</cx:f>
              <cx:v>Sales</cx:v>
            </cx:txData>
          </cx:tx>
          <cx:dataId val="0"/>
          <cx:layoutPr>
            <cx:geography cultureLanguage="en-US" cultureRegion="IN" attribution="Powered by Bing">
              <cx:geoCache provider="{E9337A44-BEBE-4D9F-B70C-5C5E7DAFC167}">
                <cx:binary>7Hxpj924kuVfMfx55OJO6qGrgaGu8ua+eLe/CFnpNLVvFCVSv34ibVdVpp6X9+40Bt3AJAw475VE
UhFxIoIngvkfd/4fd/X97fjMN3Vr/3Hnf3+eT1P/j99+s3f5fXNrXzTF3djZ7vP04q5rfus+fy7u
7n/7NN4uRWt+Iwiz3+7y23G698//8z9gNHPfnXd3t1PRtTfufgwv762rJ/uTa9+99Oz2U1O0u8JO
Y3E34d+f7+7rvHj+7L6diim8Dv3978+f3PL82W/bgf5p0mc1rGtyn+BZol4IRmmMhEBffvDzZ3XX
mm+XpXyBMWdScRx/+RF/Tn1528Djv1zNl7Xcfvo03lsL7/Ll/78ee7Jw+Pb8+bO7zrXTg7QMCO73
5yftp+L2+bPCdsnXC0n3sOqTyy+v+dtTOf/nf2y+gBfffPNIFVsp/erSP2ni4hb0fWvzaYQV/lfp
A8cvGCdIUR5/Vx/iBUYqpoR9VUfM/5z6qz7+xTV9XytPHt7o5uL4f5Ruzm7H9na6rf4rNcNeSIwY
YYz8SDNCxpgDmL780Kea+ZdW9H29PHp0o5Wz//3fWivfB/NjqDy54991XeQF5QAE0Mp3FRK/oIIK
xcW36xuofHMtP17N95Xx7bEnC//v7ade3zZF/ezy9pP70yL/78MGxi8QfhCsUk/jhXrBkEQEcfnn
ZF8d07+2iO+L/PGzGwC8hkDwP0kV9/Vta27b/0q3JF8ohASP8UYT8QuEYsVi/i1UwOWvtv5NIf/K
Un6gj78f3apj//9WHT+O7n/lPDsIA+mXZOlRgP/51S9vDfnb5tGfxfivkj359PtzLAgG2/8rCXsY
5IngH3nzf3rq/tZOvz+X6gXnRCgUi5hQRRR+/my5/3KFvUAx44hTgB5XPGbPn7XdOOUwLyAPkjSE
mIIFSEnhku3cl0v4BZcEEji4wuAXof5KUa+7Opiu/Use3z4/a11z3RXtZH9/Hj9/1n+96+H1JBNc
KUk4uNYYRqLq4frd7UvIguFm/L+E5VEvp3hKueXHoQ1XIqs+Y9UezVO1i7LpZu6qzwObRv1ISt+Z
V0l4g6czC4UJ5liBuXN4F/J0ZpNzuoq1dqnI4vE+YxJpxxgb9cJnbE4IWlmpC3gDqmURrS+97X19
Us/5ellg239mPA4+qYLzQreVUu87FbqzkjDS6aEIrNkZw+NSIxvUNasHb7VDc35EeUaSfKTdfhWz
PI3MJI6MjftVtyHrNUgYaS/Gq8XUYicovSuRaXeuUkdlTHEyRfms5dC+DE3T6MmgVEQEnU25R5r5
sXxJPRaz9n6ml7iL8HVtcHUpbTRK7Xy5XFJVvjaxgvmy4O3eU9HcBN6lVV+el7S0F1UPovDxitck
8yh4XVQFPLyEokqabpjvqIjYm0labxPrsLkqZDye87bhCS5CpokoXKN7EmRCJl5qWpfmbbHg+KXg
s0+zNe93pu72eCHuJnQD22XdlL+fkKEmqUYWHYW1ol1C50hdLZGdPmeexF63XTyaxJRT/GnqF0vS
sIhImzFGbzxaLfxKwMZ2WU/zl7Ybslq3LFRtUhNTjrqpwrJXSOVnhKLlbOFRe05YPSY04uLSFw27
QsVa5CmpAr8eokomgll0XljvEtf79tqbxbhkNfnU6nWQ06mQTRvrvs/afcecP59LNR3lUdYm5VjG
R2UxrWetn/s3Q6ukS4beRmYnKe/eEh/ZHZkiFWlZLX20d2qOu2tDaFfqnFXNAHbgpmw3t0OTMNvH
k547x45h21X0SZej9W1TE1SNOpNmmhIS8OR1X6twBfctgyZLi+95JDlKjZvbdOZTfJ2LxeIEzZHh
iRtFmXAcTSfOzkxo1XblvDcz6iptEaF7lkvf7zrT87c8zHJN1zKIbCfmNtOZn5TSYrRlqTvZh5Os
sdJq0/H+wrl8+ji0BAypGtB7g7r8PptkfweSKV7aqo2vZMXbSg+hDm1aMJe/Z21T5LpwhTkiZUuZ
FgjP14I4mGUlOT6mWRVPSagl+7j0zJ6KtRQ+ydhcZ7qYy7zd5RSHlBSeHJW2Dq9It9KXLVbVsFsw
mdZd2Qyo0Ws8+7uhkcLo0iz9zZzh+KNVXf5uLEB6KVNjdxHXdYV3Kjbi7TzhoKVz2KeOFv626Sb7
ZjFxTTRpR3E7FOXQ6l5G1Q7jUfBE1OWIkgEP+D6yBX6VT33zduZldiM8le9bV5NZ57TOoh1ZKHpt
sjJ2muG56lPX8uZVJwaW2uDEos1g+kZnpajszlLX0KMiV1MJcq8jvBNeEm1yIdY0R0TtcT67McnN
ivU8KXQc5DrP+7zKx5fjMg9exwbVZ2tVeay7kIEXqWRjFt3US3QV+mCbBFeqeluGKC40Ql2JEtHK
7g6hsUU7wWlzvA5RbzWOShnAExJ54toC3ke4pgPEl6q8jpo6vyaT5C4ZYy6rZG3xclN0ir4FlXLd
9aIRWqhepBkT4yvjaL5jPVtSTnlzU+OiTNfeCqF74Yf31IJPB2eGwocFMfERnDloVPVtlGsrccsT
ppooTobZlJU2vp96HanGrxpAPtFk8rDSqJ9OnRGh1bDCOErw3IJbmLOMd7sqWufLZRLL2xqN5Zqs
rC6tzuaY9MeIxORDMdmZJ8Zx3qcIRy3bLQGVF2VM3HXEVf9GBc+bxGazVGm2tOz90qz9p8GsY71r
cgcuvUBxNCQTGc2a9HW+cm3UGMwJziIitaS0umzaBuXXHTJLnjIR09NuFibf25pO8WmInDU6OAzo
GrumEDs2lNHtko0+S4LJRpu2pM2ObGv7Qi9WsiNGh7LeLf1qOp3RNmIJGM4474au8kazLmqqpFtQ
vBuyLnAtArdwC+Y8135U7ny0fQOPqPU0Luc+6YnKLsCSxo9yjvBFVI3yrSvH5nRu5upsLRE4YmRF
fSzyABG0al141ygMTs+oYrlkU6XatKnAU69tJUYdqnwYNAWq6FPXCvHKV4TqgiHR6KVHVQ+Qk+Pn
4Ob8ZhS0z5OiLad0RvFyqZoFH8GLzgk1XfOu7cx4airVFUkpIewYUZtKi3Y9a0iLkkg6eyYBeimF
ld+uU3npljzTTiIe9Arp1x8m4/Uly5xdUrdkXZ5UtJBFQnou0XFmAlp05VR2i0yQg3ZiqsJ5J0KN
tRJz/g5Rj0DRqi7KRHmvXNJjeDef5eE9Xal4De63v/YjEXuDfPjQQXw+F8T4IlE1qT80zsdUY7tK
oQ0Sq0nmUhYoIQ4PsbahWgGGERo/Lo5P10xG82XmM3KNpOX3NCxRorJifcMBSHexiDKWTEgUR76r
94QVoU9UN2WFHutp/LQWs+kTPljJkziOuHlQGrkp2OBedR12Jw6Rqj4f5ll+4C7PP69V1uQJzoc5
17iuFAiuzNex0JP3hJ2sns1D0plMvQ+4F7cQXYobgXHuwW31DfaauHGtd93URxPSg63kFcog5Cds
Xpk/qWXLyySiI9vZ0fGdp7UFEIRKexuVtwOJs8tu7t7NzZjv2jHzu7zEXVI0NuRHkBgMa+KmSM5n
IWfilVhpviRD4LVImoyVR33uo37XgCRwk4UxdX1ES90QdTeQiZ61OWz3tZfYjEnWxfZ4iCJx7hj+
MIhseFN5yv5QFYnrY4nAzNKY2GLQmECSoJmT02clonLQg5OzS1nB1UtEhcmO3ExD0Koymd3l3pWA
TuqI0ctCRzCauXE4Raqscq2cj7ozNzP2bpkGsKgGty0kQjWDoI8g7I01sq1Wq4JwCQEefx6rLOvA
T9fmfTG285pEjvkrURSW7FBo5jQvgmm0zCWm55VvwmkxFNEfWTE6pQvOikpXo0JJz6vpIx1mG3Tt
iuijiUQnEmpDeesXCl4gJk23aLxG+FWresaOzdxDbsLwurxZqgVBMI4stSchAwZLgwksWVKVZTAX
gSL6ErX1qo7qRSy1LtZ6GBNH2+FkEkR+ajIyJp5liYqrejcOfZzQCYsjPrP83eKJ0jxaIWMbsxzr
qrGdnlEYE5J5NSdxm62lnnB0F7DpPyCetBNvk4VFRJfxqrSZVHPEiihomxVUu7WHyXpDrlypDLgH
nu8aOiMd8bBrCt8em5j7UodSsZuyj6J0aVp1ROxYpzLOGITcObsOGecdOCW1HqmxuYtXgt+BJdLP
S2HLdJwLCgjrZHwt3Tiel7lfIhixli9XHIouRVOcv4oCbi6IW0B+AIq3ni3grmpK13avbBneZUzZ
1xZ2Z2hXrNyHnRPGYo1D7z7HkA3esXxuhe6UzZukoxmySQO7m89U2XlM1ijPX7M+dBBiLWEXi6VB
FyTKy8QQsEJdFUub77ALy+cikn7Xr0PzalnBqei+zXq3i5ogC521Joekcpo8OXaMerULlQ+nDAwR
kt66mWEfAJEWVXneac4CzSGMtUN92UA23+yqtZzRCR/rMTVYFK/6aohedmE16Sqp0WsjV5WgYZTp
QtSSdHFJI80HtyBdtyI6repshngfimYBIxbx6y6bV6ppFiAThEBZDzszzjXbdXiokTaryCNd9ANk
SBELIFrJujd4apqjvkCVSF3VozO/+nxOJ9vGNjHc1u+CU7E9bSKX31fSjLkeZAZZURs1kCJigcyk
zUK6t8jR+vVikfpEGtMdLyH4/sQVgNEWdsadNnQsb0vWGXQE21h+tYQqYE2jto41MQifxWaG9DBu
4zCClJWiu3nJGDgHhomHMNwNN6NayjmZGjBDPRYrJNgugm2OZSO6JrIY8Fmtxmk+CiNDr2U7Ur1E
9X271l7qyqvc6BHLTOi5iUpzzIXBp2Jc+GU3zZBC5tMSq9OiUeg0G2GbDm6ZVydTycdrS01faVax
BfTIYZs3+77cF4Shk0UZ3idRV34S0qJRU1ngM9gl8xtRtmdYrUgvQ3fSELJe+rx6k6+i2U2w+Uo7
uuxby+p90UXTjmBD9ELElQUAXBVRptIgpj6RNUOwb4D0Y+xmm+sgpyp1YYWNxVqUu9zVTvt5QUcV
HYt9O+D2ZmFTc92EsdtNGLJG2ugwZjBNYPV51+IijQLsRWTwkFz4UlzRmNujtquPHQS2pIT80thq
uW7FiN6itiEWHGwZ75rRvmuz2SVTQcTLWSiVxn0Zjnjrr2Qe+WVHuBPHHfPxSSYzlkF+QswMHipG
uzgbijOMq0V3Y6HWFI11e5mrLj5d53FhSZfFWbKC875XVu4HheznPuTVtZnnSU9zG3/oolmdypzQ
92QQ5pOCAJpIEJAb6w5uYQ4Nui+ynKcwYhVdr4JKmXjae8h4c9u/bsYJHZMhU71e4oBf0yaPzuqs
dXqOo/5Yinx+08uh+pg5tC4JQSH6PDvZ2o+0gm0QJADFTI7aTKF1P5bVosCTEr+bCmbQSeH6+lOE
p/E84BwyyzmPIYCVHiPIBvpQLUf1DNlkVar4JsZMlUdYDe7I8WWGPQ7qaZy4AncZbDMhU9hVDzGz
V33BNe0VOCq10KXaQY5kT/svbmeCpX2YBFvnnXdFhnbeR2AUMyIrP+YNbBOOupK2PiGdZVXSS0ed
pi0WHye54PueFyTbMRJXYaesik/iOfbxcTMs1iS0zSGJXmgt7pWh9a4AJufMLna5DKVfZYJQDomp
w6W4Gxs2dZqZobgBWqA7nhylL9mE5iY1CoFLzJRYdiZbTUj63nZWF40MfF8UGWzOy7qdiRYzQedu
7Pvjepohe5pUPoajLvLT3RRWNQH1CaTfN0byG5/1lVe76/owFsAybD7+5+uugX9fnvnrni/k49+f
Lv6sOv/0rv1998Dq2u1ND6v5ayyY/dvqHjjJJx/+iSD9AQX6tYj9g4v/Ij+KMCGSQXXsxxRpkt9C
3dfcjvmfnPUXZvWvJ7/RpOKFUrCjYxKYTdhKPpQivtGkAkp1Csp0wE/ymEqo/HxjSSl6ATU6FAMr
riDNUexvlhQuCSVxrARwmhAysPh3WNIH9v0JWYmkimMkH8q4AkHNEDjcxzSpy4FrQk0Z9mIZhzfN
0Mn3AySuF4pk+QSJz+g/TBH6I6vweK9G2sJuwYYE9ic5pKZ26VI5d2MqwW29H/Hcwb6tNzusivoT
r4179/+N8VGDxJMK0ROTwj+1wyclwi8m+HD/V+uL5QuGMXB/nDIBhV8BPPhX6xPqBY6BilcIlA9W
SEH1f5qffIGkhGKNQEAJgG3+bX5gsmAnYJIS0IFFHJN/x/yeUuXRA8/PJOcP7QGPrc7CRrOrilgc
53gX8ys7nz7C4Ten9Zj8/9G4D98/Iv1jUszCQgKTTjyvc72uIbzLifBf+zS+tmn8G8ODlB8PXwIb
FxbfyjQfh3F8uYgVmdfGr93nny8fulUegfJvsWwqB3GzVspVmYAdIbfrTY+bGAGnV3KsEUMN0cC+
TNnRzyf7kaw2yLeg+3IxrUi9pYpqhagZgb8T6uPPx4eq0ndfBj0VlowH1JdxgFQZ9+wC44XBtgAB
o3Me1NT6fSRXiItNGPqXP5/wBy+0rfj0CvWzfJhwrmPpTzugyBxQ3C4v0p9P8LS09Jd6Hhz5Y/Wr
YoXtqaM8XSorl1MRKBRc+sqS/JxXeUkusKtclQx2aIPUsNnGwxFq83k8/vn8+EF0f9e2/l7Ag6gf
mXcvG1txG3jqDOT/CZTk9pLiz31FhwVob7PMjXZBRufdArWZ1JGuU62OjCIN9DT9Fej+dQSoB8t9
tILaABVQ8wVEoAhP6Nh9lnwpfvF+P1Lgxit0gNRFhYmnIVj5HnUBKMbZlVeHLX3jG2pVFsLSkadA
wxX3CHroztuoqFxy2PAb39BFC++HnPO0nuT8Fi8DA6pulYd5HrXxDGO9lH1PBp5OXbTChsBH87gT
fdfJA5e/8QbEG6xCXYI3gIpTmQQhPNPDAFDaHSafjTsgwP63nYWKVNsFKa5tAR1rb5tpin7hO39g
PHJT77UKObR4rvZrh5s0GBaN2heVHX8hoAcj/A725Ab8cVex2pGQ7btIrc3RMuJ+Tusl4GI3FDmL
D5xmA3HKukxB3U7up8mR6bgVXYtSKHXUPu2LafGHQU1ucDx085BR36h9T6r1dTWG/KqVwIr8XNc/
ktUGyAvQB3iBtGNPIl+ktR0lPTcM6Nl3FVeV/4WofqTxh+8f+aJcAc2gZK/2Y82gFtOs6Co2eKz1
z1/iR8PTp8N3WRGAtF7F3skBOBVUevZBrF2fHjb8BtFulp2EopPYzzVoYKpNkzIXyf7A1W/w7Ara
QhW0VHtm5wp0EJSPoPwaivXACTZ4roDlH2IP0o9xM7QnPebtko6lXJfrgwT0kLg+Vq8kgVocebGP
bV68lcraa1+YIfxi/Q+W/h08Q7PJk+GbeF546YzcN7UdspeyaQb3lg5rjE6hEyKWN9CQQsXJYe+y
QbUMI7Q2QzPavqdsKo6nlfpY51WzoMPwLDZ49kUYBNQB5b6ypmcntiGz0qVj469i84NYvieuDaSD
KQ1qFrCnIQv9uCsN8EXXDdQ4xamZsqZKvSGhfV83in50rVnaX0juRzmP2KC89iaT3bqA361V3Z/m
kc0kZPZVDGmdmpaSTbqdynVOilz0zVHlVyN3gi20ezWjSbgDBbzxBiETkVRVlO0bGbkdLRa5V7Km
vzBG/ADL74mXPLVGPk++GMgQ7ylaxy5dcTZD51K2rvVxD8xBuDK26T73EVuaYwbEH7/0lJL2gkil
yvdQTOL8F0v5gdsTG8eh2pL33VKwfS8zSxOxxve998twmNMWG7dRj1Rg4FHlfoz6ZW8mzGpgu5X5
dBDQ+MZpOGiVUGVp2N70Xn3gEEovLYqaw3w23/iMgZq2jCIZ73kNO5nEYdWs2hVjsL+wsh+g7KE7
9bHPgzJg4ATq5PspLBk5UWwc0R++x4C4nOSo0y1Qp40mq+jNXd+slhymFr7xH3RpazCiUeyFyhqn
+4FYIMIdiw4MF3zjP1a2VoMTUJ5xA8epCLPZraKLdoepfeMkoNEOteXg1711ZtqvrXzoZenLX/ig
H0CCb7AP/cVA2ENo2JekaKD1DJc7qDWTA41qA33Y9XQKF926J7Bv1FCcfdca9qus9UdL36AZi75l
vjbr3sgwXbjQIsgFhhyXB9rNBs556aaejmHdR1kTn5DZV7uMKrY/SK1sg2baz7yHroh1P2WEJQuF
TjDb4OKwtbMNmlVLVjVLUGs0kYfmDAf9RpVkh/lRtoFyiaIRLZld9wMu6iMbt9B/wdl69HPJPMDm
O/GCbfDaZjxfVxwt+yXi97DtrOYj6IXp2/20QLvHz+f4ge2wDWTpLOe2rLJlTwG4L+OpK1PMuuqw
7fgDw/3Y1U0tpELLKhbocOTiRMXc7crQHuhuHnj8x6NDobbO1Fq6vbE1OyvqRl5Ak+2BS98gFgJ1
VlWYTvuhKzOcjByKfjL3Vb47TPAb0PIMKorRCjRP3xb+tJrMdO4yqEkeNvoGssCPRjN25XQ0OrPY
V3RBqr7ioxL5YXZDN6itcDEPZiYeUkK3JlXPP4Q4tL8w/B8YJd2AlpdRxZTK5nSooYmDWkf0EEOj
40GyoRvQ0r5kJCvVDJKPPowE8rs29tlhaqUbzFb9OkaRFd+WzshANJ/FoUvfopWrzKkcz2m8AGlM
Hka3hwtmg9YKzX1WWxjdl3GeOFU5LQQpDxT7Bq0546pDBMHojNwPBauPTGEOZLboBq3Qq1SrwsDg
8eqafQ0t5bDzEv6w3OChiPLY0fiJyqwO1ZzyKVu0x1ChxX02HRai6AarTd6TtqPIpdCR1eolL+5d
CW24Bxk72eDUruPUd/nioH8yh8Zoxj9EsyUHDr7BKcr4SEMeTakcULuzvri1brUHDr6B6WBjX0Im
7NJSxLkWZVFrN0LH62Fy2eBU0jIyRQQnR2Ts8AUcRqDX0AtfH1aiIhucescI9PjEbr9iOMet11YJ
vougY98eZjNkA1Uy+LhxvZn3cFKkHXVEe77vFzLdHSadDVZxAU12nW8gsma2hiZei3e2KkN62Ojk
KZzcCIcsTOBuP8X0Iy7JjWX05rCht0iFFsQmhGjaF3l0Ce7xQyDyQK6QbHAaF9CngVs57cslVzuX
89ddBe2UBy0cb3DaVnDEJlbO7aNiKpK6lOeSDOgwY//SH/CIRIWy8NJbr6K0rf2nIuB3hDdnh617
g1LozzYRxOsAvVTYTnDcwuZCB+gOO8z1QiPEE9c7G+gkrtg47eGcM3rPJvAD2hYrPizTwBugugGO
wdRZ5/ZNN667zss/8qLPDhT7BqSZKgY5Q+/snocxJE0DTVC2+lXl9WGQ72wOHpoBHsekuBWs6KNm
2sORvPhCWYMv6ijr3x2m1g1EyUSmEf4KBJhjnuWaNst7qYoDVbrB6MqgbzPLK7cf+Qy968p/qAd1
fdi6NxhlC/NLQWHsqLSvmQsXnNmLg4ZGG4R2S5aZiZopRVkUJVGZnRcrOpAfQJtIinHfyzUiUSpQ
fAWttB/giEd9mGtBG4hGOeTpYwcyqfP2pjPdEXTlH+bJ0QadrF8C9UDgp906H48LOWP8sAiKNsDs
A59E18PeTjTmXHV+Dw38h5VZ0QaWRT35HM5kRWnfvFmhebOUbw+zkA0k67gc+7UCJbK8+mP08Y1a
xWF+Cm3w6IYZ+qgXMe2DLfHrNUxkXzpqd4ctfINI2ma+LYt42tsIWglIWx3HWfz+sLE3iKzqwnL4
qwlRygvIbiMkbllMDwtscLj8qRMEwx6gkRtCcl4Ir+EUUrSLYzkfBBwWb0AJnfFyYnyO0kG8gtZh
BSz2ITKBvxrxdNm5yQc25GF6OLgJZ5bgmJrGg3h92OAbTC5Q7wqhzWwKXbfHSw21/YGW00GWAgf6
n658dA5VUQ2Dq5pfU9ffFQya0w9b+AaXcNY8oAFa69OxodccxvZuPnTsDTTxUsBBOY+BNiYUOmuV
KU8H5sWBUtmgM7dwkhTyWTAUvgq9ovJNLfKDEiwWb7DpY8eWKgbkexqmMkEsE92OQAZUHORaWLwB
aL80LINazbQ3rL+NlvkdFB/eHKTRbbPWTCmCA3ggF+cM3w2uKjT8iQF5UB4BhNDGFvNZAh/tYeHe
X7sOnfp5OBChaoPQspGIyZzavaroRQ0Nh6mSkhwm8W1/lTMj9Fy6edqjvr5hUQ0HvvODkhSmtviE
c+kBjjfYPSGcJEuDxwSz8vNh6twANEBFwapmstDNID4Y608LyV8dNvQGn36cskqR6P9w9mXLktpM
t09EBCAQcAtUsWuPPU83RHfbFmgAJBBCPP1Z21dufvvrE9y6wxRbKFOZqTWYxkfSlXLM9HVQ/BwM
A6IUv+6UMXVDsQIr1OAKaa+HfXzOQFY7l7ZeBTL+WYjbKZ5FFznTgJupZDlbEzwE4Jy9O7cyh/B0
AUFWTCy+6Or/mFHBbXP+49Sjj2iqBQdPN9FxbgRl77ZpuoVKnduHRyDV2uaCcpmYZl91d1kdi+tA
Dj/PvfchOPs9aWezibkpuqkSiX9W+e/Kztc4+b9dVXKETLkA8+B1ykzTqTW1pckof9J02krHY+ur
c+9/CNJUDNsgxtQ0siffZJd8Dibx4dyjDyG6AfEoadYaxP86360zGDcRCKLNuacfohRUwLQ3JMaL
J9FntQZDmQTTp3PPPsRot+lJmLCbmzTuwbfaifVJOeSyE+cO6ewQp0nHWG5ziS25BWDmxB96fa4X
h9bLrylA9qlGw4xHt754u4T9S0voqWsokPcPj859q/TqTUNaFTdBHi9vI+b6U0hf0FZ+fXqcrWG6
9tiJbbh7cOJ0Q5KT6LSEHsJUbW2wbHNnmmGdwjJcs6t27Nx0GKyHX998MYm1SYElR3p8WH38INPt
XAzRQ3gWkM6xXDPTZC0bymz3D4UBafvUNj8inQrsknCLhWmicX1DIv1owuXkex+i0/S4naAu0M1M
8899ZN5KoU81cQk9BGe7JUqwiZuGYmXKAiB06K+o/Fw+PKKRFsJ1wMdC496m05WJxVsbFB/Prfch
NMMQfdaQhrphPVG8dBhUXGwY0HMLc4QicV4AlcY94qbwkLywlL6Tfbif+6JHKNLKU9oCa6ebvTBx
Fc3JM07Sc7fnyRGGZIMBLMptxHYZiyQUyLVegE2bF6s4NcPBDf+vMQoscFiwbcDas85l1YDhWdO2
iT53j5Ac4UZeWAs+fTs1eTALXa1uUn/ZInMnm8Y0+fX9IxWHiQMRtjGdn2vFKC+xQun11M48Ao6y
DHIf4RpOjZU0rkIKEDvIgCfzY3qI2EUCgTeTYWrmBBJPkGKIxXfht4Gdy2Pp4TTdegOeOAQymrHj
Y9kv6uMmo3NnXnqIWRmPTkF6BesO8Yg7P4fz1cmxuzu17ke80UogsDFJNzW8TffP4diyO2gOg8x+
7vGHI5UgT6axx2eF1oSer1B9gCBV2kKY6eQPHI5VXMaJcZhWrDyZ3c2Y/GOn5bnZfHKEHGVCgUq+
mKnJkuV9z+a3Tizvzy3M4VhlrQd9WjLdZEPxbRhdBKmy5HfY2teQ/Je6/Qg00hiZ54FVUwNNhfwb
CLnbnRVqPbllDifrEgab36G81iBSi5IC+lIGPsgu5xbmEKrGB7ijl3h6unpbptF0L4bfoZj+LkH/
bWEOcar7DfC6PB6blUJSpsRtMUeyyfpNVEwVTNypybv3Vs3yRmYS0GbpOp1+AMUt028w/5vN+yJT
9E7gXnK842KA2Fsmewzj2QZNAldC51Cbj07Hga1Crwfxfew6CFZBra+P6yjFrP2STXaztYwwJaso
bqm3m9VBzps427rk1o7c+SoKMU34EgDZ668RhASzmmQbnukkhPCuTBfdDLZdvNsrhCO2vZ5XBaLy
liVJ+2ZJoKXzY45SrZt8j4u1MRv+3npa9vTCwzXNqwFalKKiPmP2jkUjKx4pZHHwynqP38d54co1
puY29bPZm3Ascn91Sq5JvZqEpZc1g0bMJZXdmlRMTmpEPVsUvspNT7JSjb2JHtwANbabJNGSNDtW
21UpEett3wP1DLWdMKmTcF33krem3d/LiIOGfW4HHRKm2hJLhYUmJPRpRkx9AuiHQFfn1MOPSC+S
tB6FpJyajioIXYr3bdafe+8jzmvFTcwmoVrYpLZt5kLet2l0bjh4BHmlK5ApESZITVxA/LENClEW
MhpPrsmhsjEQm6QCl3YNi6Ebsgn9F+XmXNFHDnmSg966Dlk4Ntbb6RlssP5uJIs6l8pelVn/Oa3q
aB/aIaZzw4xIHhPUr0D+2+Xrub1ySJRGQZxkndaxETmzn0yudwzzh3w5ueyHTKmHfgFNpBibAkPl
Mo35Y7ezc0yz5AjyChHCEGqYxsaPU6vqMXS82XTYn+xyjjCvaOihh0WwIylT6XaJ58HuZRakUCQ8
tfhHqNcCpZI26JaxwUXVX9C5vE+D+RyjI4nzX7fNZJ1Ztc/GpgsL4MiWOdtkRQoe/3Xu3Q9FzZrq
naw2nhqpX2W4slET3LHncXwOi5HEh4h10yCjcGMoEOCeAQE/xy99358sEI54rylzLd8ZjnDc0ZgK
iDJaTYELz43djmAvF4IqnfbDCFatlPeUQI21pPpVgfXc4h+iduYDA5BpRBoebHbfDST8hp7WnxsF
x4egzTaldzWjXsUoa7tBBMk2WbhkJzf9ob6JibRF/3o68V5B98ppVloIeJ1LOEfIV2SizW7ok5vA
D+TPDmjzP3dl1TnkZ3IEfaUxGXjHxdSkFPqSN1EM0NdtnUt/c3f4H7y65Aj8Are1banMh2aXETEf
JtGvY9VmQzzVbh6DDyCcPQdBIXmNKk4UFSvQjEKEGHp1577+qxz5P88bkIJpaDnqT+d1l1eB4hCg
UN0wyXNt9BEgRkOyo2d5zUztErUPqmfgnXntl/BcdBwhYntoDei18dAQEkEAcXPcJSUXyXqywIoO
RzKdd2WGGD/gbQzY8m4/A73/81RoH1FiclF+KSxEAiczzNXGyF/7kp598UNkM71HM0Q5VYPa9ipj
cR/H87kRwN8Uyn8gFlUQQMwWCiLNkqxzJYIEVw1uf3duUQ7l8tJJwyK3Dk1rTX6xHdQ1VdqfPCqP
ODGXwUxowBdterMFPxR35KcJcNycevcjUGzmyTAmQ6Qa1FrP2bo/SM1+o+Xyut/+pVU84sTYhntG
asahmbe4u4+kgRxmP7pzh9gRKuYE7fNVENUQyO1CPzvP9X2X2aE7F6ZHwFhSbCOhQ6iaLB14pYv8
TiSRP3cOHCFjBgJzrC36oSmSzj3OkHiD0B5f3/7vb/pa2f/bwh/O38IJv7oI57vcE42SP5xZcZFh
NI4Xiq5uOFdjHTFkOfTXoTfGxgbClBC67tKFv4ZWWIznzuLwcBaroJ/1WvTYm2n83i7hOxa1J7f9
IWShZAFRcoN3x3QtrXuDUf5uo+HU54Vn0q+H1IDNGAigAi9RZtp3qw+m90OXnmMzQVXr16fLfoig
jDzL1xycv50USZsFer+nFp0csWQTpgthqwaJy3BMJUadvw0S1p9cmEPVbP0yeOt7CYQAJJwqkA/1
110W43ry+YdeF4I0bTstRja7yX5gdvSksu7z/w6qf89m5FXd7J+FRwLZR+xwJUFaHVsO9Wi7/umI
Pie9QYpDzPZo34aufV32KW8xcJzzm6KpPbXdCfTXfnn5MeZ22w1evmUdxk5RPEERejt3QpEjpKyg
O/QmZ8zfIrdEvh564BEqPgx8PTV8gerFr6+fQ6Z2QmUL5eyOQkyTheGbEXy+d6e+7BFV5mmPCZfT
Qc0ito33PIzC5xiC6/Y3b//3pOX/5mNyBJbBozDeKLXYOtSm6kVH0WDverFqc0UjZuMrtPToXOtU
buNj4NEVPE4Z1+prHJHkamm837IkgDB+sbcW6go+EOJFDekWV0pr37+6gLT7j7H1vb0OE87cyqZ8
+0lUkjysE1/uPXSjr6S1Do+ABkZXhqpP9g9dBH7LW/GqU/Fh6PNprtGwJTv+1biqC4H8fOZTF+yQ
pk7m/onE7bieKiTJERAHXKOGSUDaXVgb8ee1EMVj3Mfs3AFLjpC4MRDpiOmoaOIt/JPGGoqw7M25
7XLIMeg1vQqoEw3ZgbOVEJ6H/uvvhDReE+G/bZVDlrE2UGyfN9HoCVodNzPv0tWFB+qhdugQ2I0W
VHanpmvQ6/s1rKDon9JkTUUTTAG9JMLJ6z5J9vHcOh1yTudbix6RiGYdkw7mSfvnhce/W6fXxf63
dTqUBlHIeiuMFQ2FYPx7oKqTF4hPb983HgW/mWz+108ckk7YFhmLoeV9mTciaN0t2mioDhsM22+9
A6PtN031f3zyI2oO8AR4MsAn4gLfUiGgV7xFQIcF8tKrPY8rILrPTZXIEUTHYKGjWiOxaEMcAOhG
PyMRnTzAskNjHkBwBIOAQTQRruMW4q4LiX6ToP/jSxxBdBnsdvIdHNxaMBgd3Qo5p9cxL3DvT9kq
w1Pogr+Fdf95wKd4NpwLsgAyHRASBNedfSk0TG1ORcPf/l//aEBnX+i+94Y3WZYuV2Cu8xKGAuea
FZIdInntMYokNuqaPsmT67R6BcOg/lQfR7JDIId0iqTMZFtHa38ftgRK8fTkmh/CGOYMch4XPHrf
k0tb6Kvq41P9ITli6DxU1/q5EG0t+vgBUsMPGnYup77lEUMHWOGrEG7f1hN3+p7P89IEKXl/7uGH
6r5Ns271JMBmj9h8mSaTlL6QyfXc0w9RGhbCtGkY9E3Wz9MDUK+fNfPnxGHJEUPHaMaCNbZ9I30s
r7ZYhrtQy3NQVHKE0QV+w32KggJ/z7mupy5/DDJ4DZ1bl8O5u/FQ25mMRb2opN+ucew+TkaIc0NF
WLf+etJ2YwFDlWQo6mHVzwJuc9yM5w7xI5TOd9vGFEMhJRfbl4OFzdAu099k3v9oeo5IuhXo/B0M
PwTRvI6wKzMVDLNOpsSjqtcOkZ55XaYerCXlq4FNoy5hC1GcA6RBkPrXRS+UB+dCpAWIVuMel7ls
zcO4if4cD5Ic0XSWDu2QaQLbBrfjzvYtUAC/STB/j2r/pbw5YukSusMNEyYETeQDsj6EvUpBMGIQ
Dv0ApaSx6dMCPiSZXlV6oZiuwWhoEekKOc6J+qu2RajhWwa/i+8qS+O1aXO4SJ2awJMjCm8LdATd
jeW1XTILu/UkzO2lm8U81Kdi8QjDG/p+gVlml9Wb6SgSlOd2qDpYIZOf537gEOxmEXZfYTJzsWM3
XVSeuHoqklOTZnKE4aFkS8lElL1Er7pfLtVgaifZKXw1HKJ/3dJTtiZzu+Dhq4V2s5wTXY4yPofx
I0cMXtJZsOHtYC8xj6aKiIjDgEf+OLfoh3J6hCdpGJIWvmlxp8o8CEDg2pLw3Ll2BOExYE3DJCDL
ZQSyphyFYc8yI8unU+9+FP1K3DSRiOrlEhS49UgEDIR6n55bmKPmV29cNOIidrlAozJ+M6hN/KDh
np0rg44AvD3tnF7sCtevgcoKytVQhEnac6on5Kj2JYsFpnJ5Ol/6bDPXtF2gLx6Ic3fs5AjCIy4m
uxTLfCEOvm9QyvgAevX2mxz7H0fbUezLOg3JrMzPF59FeylgXlpl4mStkhziNBWWBq9+ZpddQa7F
Lf6v0HTnuIQkORTNwT4p2MkSe2Fgz9SF67oK+fjc5T1JDnG6gwbR9isKq2yKf8yKvFddfI5eDY+S
X9NXpzBSHqfEXvrQwNR3ittL2wJG97+j9D/axCP6S0ZCx2Ik+ZW2Ml3fdFb16uppLM01MRNOwf/9
M/+xcY5IsHYlbRJx/BFpnAf1GqesGjZ7DglGjnpfU9dmCzyH8HHZ0Nc5YGBVMfo/zr3668r9owkV
HOkAeEZzmbbJw7hQ83pW7bmD74gEK6YkXFSamssq7HpVXR6XEDDez5185FBBe4V2YzfOXJZul9do
Fh/3iKcnP+khXPdOJfuIWc9lyrusUnLjFSCp52D/uNX/ddWHDIZiWd5Ol0AFpuL7NMBxyp9TbgID
+tentwlco2ETNV36RXfVnipZ5ZDJr0/tmCMGzEawQbOGwe2bD/uHPZy2Tzwcfqdb/x+hdESBtcS5
yAKsfElNBD7Ka8ExwST9XIaPD70uHG4wrvZFcU0CjM7X4Ocohw/nluV1lvfPQIKVewv/jOwKnS84
e6870InwPJ+/nHv8IU4jOZJxD01xTSc1AIDLN9o90kgO+blYPSLApjm3qOKn4lrA0xHmwfcyPFmJ
xYdAhRCXXnyMR6sEx98rHmI4B0gkR+QXzCBgPpfp4rq/Sh8JFyVV0uXu5HY5hCkPZbfsfoSZo2jv
BjO9Cek5NUFyhH2FKUBFRKmkpoA/8CF4TIb+7amt8n8gX5AR6uCwldQxbK+jJpkkeNedU/bjuecf
xlHDFMG62Y7ZNRmjDRLqyZzcv1L1fqcn+BqM/9LpHvFcfSCmJHctvaopmO+Wdl3V85yFjF3AU83a
G1O7656Wvf3/aK7/blX/7UcP4Zv5uB1WriXa1s3BwC+SvYynixCIOnnt2k3IUo8KdjXlQDTO9o17
M2S3UU60g5lnBHtvuKXuYvW3rvVB+53AO3BqhhCQVlES7nfnYLRtJv0oaJRPT+vcuojetiCB/WEJ
F2IWwNWcFD1sSA3s6FEIjRSfrkwLPbLvk+ngyws7zKxXN7ILyD3XHg19xmqvV2cq4Qnf3kNCzq19
mcKWVkDm2/cb/HmjwgY0KQsPaXhxF02CQvpeYWa5qBK8AmnxgnM2Dh+nWKGR4RnP/1KTwn82Vidr
TQH3hVMtVkhU6+rivtm93eC6JEIyD99HDG0zGGKaKIzg1ZnDGPzr0Cei+KmYhdEPiJz7aFQJtS/u
v7yC9O6mXcHQc4Bo1Fw5eNRGos5AnGwvO65s4ksAL925anPstKKCTahPVR2vexrC23OlxbVP7a7A
C9Ojv4NLwFBldFrpEw9tn9dhTxypuoxqVGG5yutcQQC33DSjegB+k48dgxko+v2swoRkgwP5YvRg
sjKPKRzj9do3bZKhbEQuocre42uNHfxzc1R2ZREFUtVWDfE3vSgKs/V9y37afvfkOpkxFc+7iXP6
qdNxlj2TBfbDj3vb5ZbVcgdHJbkWzkZQRNhpZuUTGBo5vtfUwyN2qFi4F8xeQ6gaoxpT4biLO0/J
5n7oXPUjq8YVw+BbBgZS8SHasg0eenJI4CTG8uBVBlJaOcDaN5SwNGZQ0MksrJ89vuU43uIUg7T4
RsWQd6WgorhS0Q3VSDenDKYp8EuGffHo1/khtLO4OIMc9UxHZvkHuGmzIcd2GGN75SSdN7hqd0kM
ldjOyxp9TZd/zRcyjA8F3GzNtUtDC6tTNy0Y5pdFnmYxKqhlIYRURUoIfxuJ3NArBFbE9jDELsJU
O1ygrbbjmnlZGbhboZ/pAiQnhchaKO2PWAbgzJg1S6b3WaqivO7aOeU/0PvkEkEDK8y1nnk6zs/C
hox+ADxLqyuHbXBcF2M4pvd7GsTiMeqc2P/oBzlaMGZMMCbPGkHbXYap8/ENxuBcf+4CmNLGSG8C
nsxlppJieg6XRUQ/Et62uS9bVijWOHiJpveh6ZPxC3fUpxU070Ow0ZkjUQFp55TKn+3imIARqRb5
j5RQPX0Gu3zvKtwu4ewCz2P0T0D1zTn+5zFIfo7crDvsayfvP8BfPYqqqUMk/eQJtvkdE7C1XYqQ
XcNY5/wlNzajcOzup+6dFt22v3EgeMQBbqKhGwA3UCgR09vslmH4S+DmpnvgVBPfjCOXbQMT88g8
WF1kMWxoSRJ/zWmcFH9ETrTPoJAH97hG2n+C2qJK7lJWMwgEBfXW77m7h4fEut9BPIh8kUWfFPUk
wXR8m/kOTrMRa/vo5sbe+kugO77dwWY4pA3s7kX4OaStaN91uoDj++SXAJqIPCxmkGgUhZHfus+p
eZrDfQlvZKKT/AjjjnZ8sWmRddewE2NWLxtfkTtdmhvYrfshMk+6WOlPCU2AoWoxMnQv3RYapJJu
3NyFpuNiWB3itmp9EBwCx9eW2Qn0Gni0sw9dPhfJTU3TRMulDQz90XUFnyo2zGLhZT5EbQijI5hO
32ap5qVeXBwGNXybY3gzy91NX8lS4A3qNGQR5Aw3vEUfsNnAkzaYh8vwKskDf2qk72ftQEy7pJNx
32B66yjs1Rg8HitYQdAnlEvszxYhnMGttYtVRZVLx89ew58RAkdKQfKsJGLf+5tbwJL94OFPZ9qy
00u2Id/vkxvHki84pl2Jifc6/3R2JeknWHAYHAgCajXFO4mnvH7IabHmAhNH3HReBhertAT3c0gb
WUSFuKwr3Gh9yaIl3x/cNjNMLTbYWBV3YetRI4LJ1nW3GS5rQbmbvg/e01SYuIbjvQ3qOVyjos78
vvNPJtwJv1uX3RWNVWPQ1trFrX8kMMt5E0Yz799jchR7UfZSLsUVqvFsuS8EOphnj5FYfk1Ej/Nu
adtUA+eddNujYiEX1bibaKmSyWQBeAsGxuoO7Ll9jt4toVAgYwzJsrzptzCL70ZcGfPnEUp3vS5X
n8BAB7ripXamiG4RKeblJZ11MHyP+y2Xj1SSGXts6JTs/iAy37ETFCTb5svI8h621/u+8UuqRDJ/
pGLt2vuZ9ZzcQKKl8smaGAZfF6QjSWv4MpH2zx1SydA0nzue3s1jzxiwzWBgYY/k0FG67/jip7uJ
KwLMcAwMcXiZJ7geluvih/g9fjP/tEbdsn2TEI0HJ72IuzGpNOQXWRUgP7XV1k7bex7ThdzlxQSu
SzoMAKuq1eRB5Se7wFLOjG4DgWTNogoXCnn3Bq+bpi+b86y/C4Y4wc1R34rAflBqH4d7QHe7HVXR
sG8/cWrMg4BGahhGb19vakhYkU5n+9MeFomakYl3395yjk8PoVkKd7NHh4SsX+B+MZtbuHTFcrct
tEhfT+6tgyYAwzLOc7kUiHKYdxO2W1bpHo7mb0mxwa4crmk5vWaJQn4rBXHcvIQL7Jy/72aeEl7C
xXhLbz4h4facYPd3X/i8wYIGfyQZ2xeBcZh7lwss4v0ec7PVA7HpcofzP5gYFjdW68XtWeYYiqdl
3PExDVuvqxOB+phFHu7eK9ZsvdccsNAXvvZdXyW8G+cv25TF6VcVZz5XsAWHUPWElSKS/TFAMzV8
A9X6pPg+QnlFfNNSixj9FQQRSaV4zLM7lS2zR/3WhTkdSx1YOKmXcsPxgWoPkrE0SNesniHSMMKY
XWTBD6jK+6QKcajz2261+JBZ7O+LCJ2kVb/tmLmqbEg+pzFwERXxecsr9KJJBkfEMbNNLLOUriXZ
QqWfp053oBxHkO+8TgWX4xNREyzcSwoG1nc+6mW7plGfrC/REBro7+KetfiQ5IPrrquEU84bHXfk
Sz7D5aWekxajgLwPFvrsh6nNrqHhLn7B/RMZ3kmRzftDxAc9ImEmiA3A4gFUyxsBEVXz1CpZwDkc
NsbsjQfyJag22qv13bw7DUI0eK+xqyBj2IoKtsf99CJmzJjKTjGpL8SDVyuvoKhFl7wlw1CbsI3x
JfpORk+JnV6dXOn8WvzkgFZ2rCryNY1rZXUY2VLsm//McwnVpHJXYC1+mEBuI5/YTMdHONOj4qo6
xoMq4lCF8xWy+1pmjpLlc2whe3DHqJtw3mdbiDKdgMA7LaUnSbDcerxC+NaOw5JVcUp1LXxnh0Zs
CPWvaWjceo0zISM4kxhInkVJT/KaSMCDy5lE+7XAYeSW0qQtn58toFPFUCmqMvko5ta/5P7VAHU3
O3mY81yElxwONhuOUZQctdkTpH0n14DdBB3S5YOVbbS+G4yNKtyR6Pibl61bq9Z1yR3KNbhmCrBo
RkzaS7Px7q5bJghrJOBV47AlsItfiqkcYYZE68WE8R1DPfDZqYw8MEgpqZIWXM9VF8WUQbN1istx
TDi9zx3zfyRg//CnGKGjmp3Pe/Gkg9i8CR0kXtECkeWR0TzeUTtFiXmzBhNgu8uWVRQ08ifc54Cs
DfNSAjVy0JCfvMnjj6ML2EXEnIpSqW15WIUsXpiDgn4tsI2rdLOwle/a/i5JkuLRUubvWbTJb56t
/H1BpKn6kL6VqVEfU14MRcnCaQbsxEohdLmFfeHmkqHa9VcPqzp/B+d09olG23S/cJ8XNbYzrdRu
9+06GJ7ee8AXk48uyLP3TDqgFup4GbLgrlXZ6mTZYufmoMn7LvyjX1q/fExTSn259mrLAeWMVufr
/lUP4Cb9tkM2JTeRn+Csq/Uco4/pychrRtcouF+jBGxs0EpdeG+6qC2e52Cbl+sKnn/4aacyplXh
k3V5sMmUsm+oXJW+pEscxHdTP/XJI99WCbNXNqyydNFk8k/Eyil80cSS6QKZBj9AkmCm3W0M1kJ+
DTp4CfMq9X3a1+HMYe5t0x6laLHYrK+MRI3iypYEhMjSp972P7c8Jfpx3cZ1/wFTKodyqFvyFLtb
IrbSqeQgDPELVHTauDG57PnbLULvfxmHhKjrkiHv1OhoWHbTr/C7i85UTF5AquHpA/CzJKqjYkuL
WwTa1PZXDzC2erHzkk9h5Qu2dveznklISwiK5Lge3Xks/Vu0xlmMLhiQzf1hnuWMvNANmYueJoWQ
fC/QrLqvIhXFLRlxRUZm5bKv0UxE8E3hghVt8jamcFzEELqrsDtQLJWtXZHdZ2O3elXM5J8pOP3L
p9wht3+ZZ13EvE4zHeC8aoc0WN9Tt/ONlQE85Em5LK1RVdESGT/Pe775vxLQ/eUfpgeb7ZJz2Ba+
87LbCggOpKN5A4/nVGyXYYW6a1P0QTy+oYgyZMSQGJ0jPXVbhmFhN4DWfMdJ2Lk7IjoRqjrZDUqA
UlJKGWTgR/QfqPi4rvw6vdYisHFZ3Fu+GMNcUwgmzCc5B+N6HXmwFLd5LmyKL7YXztQ6ltv6TRQp
uEi0E8X8bXFCr9eJhSqoCmGjh16zllYaF+HLo+c8YfgkWQ8y4Iwpe2WmVaMo1RRyMp/sDpVcEKR1
+ziyWDeu3fJ3msR+QXWQ7vv04qWUpYE3aAlSGLME/mI5H6/e5amvGOxU7W0nMxq0rrBZOS9uDKZy
sYub32aRy7q/Vlib5JddhGFXU/d6rpZshsfEXYsy+7GHNBd2HYkUuW85/FkfJubHz0WORajJsiSR
LMMekIdPs9x5gCrVh0Gz7djXDeqAKLtfcATw786RvkELEBVfR0icZ12VFizs301r2nWQhI4U7W2J
TZaSKkdW9ejmAhDn9qyL+uecu3CvDAL+o4hSdZFtTweEWmvvxxATjCfMK0j6Jh82Ku7daoofmMR8
QemxxBSWKhQQ8BEeMfG7IWbtN+hZ8L5mCkmx50Y8LUuIymyHwIi7ySzvqmn3MBwBrSO86zND5JNe
yCyfTGvnBztNI/8Og+jlz0CLea43G+AzJlv2Sdjk9XJH5Djbt8R9oqgllprtGrU6cE3LVkqXqSvI
ygUt+eQYagNcVa4wu8s3zGuRCWfMdxb+7MAygQNj/jrpAfHbfBIoxso4BQL9hlF6MT8SnevgDckA
4gMoKBvYelspY4vER7E+nMHobnl/2UKS8+zCc9q/ZRre8JcI7JX/R913LEluZNn+ShvXgxoIl8+G
vQAQKiO1ztrAUpVDOeAQ7hBf/06Q7G5WTbN7HhfPbIy1SWaGQsDd7z33iO7b7MLKJV4O5OorvBqQ
httTMZBNk4dLiFuzCO/6Av3IbmnKIQ5LbKAmdrZHip0Kbf4uqB7Cx2iyuUsWPQTodjip3RyXTtTe
S1EE2Zs4lSZ7MUNl/rAw8zlW9UhQ7souQDGrSWX3EpkgIpGs158txZKNBSI7EsSC+GRTSyJ+Af+q
aMVFWMQG/pYZQSuDUPXtHPKJPxvlSeiPC5kBGfSkhjPSYGBRkKIo0dMZZW37XtdzFGCfI3nZPMKp
TZZJ2OdTtC9HsnygdVbrsa/D7FPn9Sop8r8XF57rfCLdg5f5jH4GiMygH2gtcyAjpaLnsu0r7B1+
viShCrrpupcZN9B1YLZEFFP+deExBjQbpYd/pBMMRbfS9SxM53H1o41jbnBxre18B0/kgDyZXrob
zyPDk8h48ADux7ju2gwioL3XojGeaz27DSMChr5r6cwTrnl1bIIKtDZWIoAbHiekPbS5lF1CTaOn
2HhZ9Qyl7hx3FOItY8jEjv1svGvOpvmCyTUX2zaD9cKmpsu86xArsQtM7R8IMpmx5zXR8JhLRZcr
o1qoh52D309MO5uNd5OFxetXGIigORuWieTPgIYjHjO34DqEU1liW5BRELWoODj0x8IfH/KZoUiM
ACUohSqjpB7sYfnqpT1o8HRDhQJuMiFeHTklvF+LXWh88wj79bK6DUULEfiMBIbbAm8kjgoXGJtg
217GKe6BjUVXpso5SSKDt/PQttnUbssuK/MkJNxMbyeu66Ftaq2PM+drjdeovOG2CshUX0WKTyjY
liLaCmG8dg8KJZ9uAEU3G2wTTbPtKS2HNMxdHYAuh2DYTTv52ETgj3GG7wJwRGZoa9BuTyAtu2UZ
bwcvL13SUBvUZ57n9LqD/dj64VHEJsU1oiGPam1nLJ9M4HJUk7+pJLFJ143TWdQGKDjzojkuJqe3
YC93UAjA3xE4B4waIsKzZ28FnXwroJBZHoAzzQ4H0eAHH6PoVciRgVOtgAeG2prm0GBCUXzN127Q
Cb4pCN5FlaMyx45ZO53kXWbgXw7zInkBizTBEzkxYw9zSzqx48gARzRq5pgoYo/C9nA7yei0CL3S
KYV0xQ4dEzafKi3XQU6HEaIMGYftPNZYxph3fVqcndnB9KOvUgdHbR9MTB2S4LElqNBSN8k+Tzhx
DFqfkS3VY8FgU5P68JsvnmsAGiTWjc3zB39esXsoz2PBGeOBpomWYR2mLdAwl7SNA7QVQwQ1q7SE
uNC/IqbrxQ0CQQoXL3CBNhu7ZLSNl3AlqGCkCcZ3r0eqQkwh9ZA3yLJxfJcvZuLvDB9qehpQoLJz
OgQ1T0jNq/C6VpMP02SDpiAvBq1vFwj4q21YDr5eYgqxvQOAmTerQqM+AnLATT2jKERGe9YhWFsO
2UXe+sV6CIg/NxfSAKeNmYkm+KWbvP/0aVTkl+GaNeAlZX7V7K1wXngN3SRnWFN9tE6Y/zSL2SK/
ceq3YLoZnWCqQu1bM+nBQ0DiOoqDVwNOefZrffqGGBqfNOilKSFGRQOmLy3wwyqBvmIcbAwvliA8
+iykaC7p6DX7AjwL9zaFixzSjLFs3E3Yr6e0p8ZUmzqKRJeGSKQZq7jr9ZJv0Q3W8pgR2K+BfFmf
4sGQltamZV7I+SwbfS4S6ESUpCmcGHwsqCLTmGdjFNqqM+bmaEXNMhqyB0jQYlrfobaLgcMGVQzB
6FqmHW6DektmG3SfvKBV7aF3CMgYIe8WJibfTKVr6LkqTMhGHKYadSJJvLqXOxaacJkPVSAi8QjP
aD2eT2jtZ4MPXpCSoAaZo/aK8qKenzx8GunFeTBGrd2e3KzRkDqxOnJpTx30MfPaakbxBb4sDKaW
TKmrRQcDmpXeRgwLnFTArHiCWQtFt+oPWjbvxYLuGty+hWv/sx+d16EY4BQNUztC2+iQVtP2Z4Ns
rbii2DwUSkVRrh9VjmnE17Kc2mpLFGm8CVfXRA2ymFlf3BCU+1jLoeSEbg1Ko+4zN4ROIh4DCbfm
iRMr7gPgcwXiX4D/j2+yJ7Z6NJ5tvetWYeBz406NKhwLFlGHCXcdfI0hmzN9fcg15l64SYiJtj1H
48M2yFG03REKQEWnZMUMqUWnW/S84KlP2SiOk8Ek6RzVtWDnKIvIcNfUZdWfcRVN7cGzCGb/Gvl+
5ifsVLNtbas9G9c8nLzz1oc71Y1nB1tgj4MNfSJRGTebxWrRXxbDCKGLpj5392sNSmMi/AFDniKq
G1jM9Mob3wUbTHYfTQM2/wb5BqVbz7wV8d0oWeFrWB8mo6IF9RQirpOAz6PdL20jo30PlH3a1RVb
/UegipSeFRUmgYnxNQgAG+iJ/V6kuDdXYFsnRM3bdn0Y2iRiuvRirLkLZoaFYNZIYY+x9QNQq7tt
4QWY97AGI54lrhGxJuKlmw1N+5xTsh9nK9e9IbPnN7B0CycrgekpZKW1VgblOQ36YXikA1zVP7ki
Vp+jsC34tqa5lXfThNFMWitRKqgTQUi7LpqmZsdM1U11NwlcmOMSimo48y0idS4c3muIRPNlpdel
5VqdzWUvqwc0ekXmEt+iWu7SshUasDWBR1vhJxaL2XgJvD/YYlLMAbmQ2wp0wJOFMX+Bg6E/BImU
MMDUG41R0GAPKMB6XNiRl6a/xjndAHgGGQejNNRucrmLcNkhrpI0r9YHTE+yeeuwkrdyXfk5mmjm
HUMvkyjsmA/3uvA0xhPhzi8ZM7uq5B09X+sWyusgXNrxZSqshGlFZWEdsh2VmZc8DiZGOWacIUhX
fjcIlzAAG8NX7WBZf93CdmEItyer1wCYxkwR7i76VboykXqaqnTR/SlRbhzYJe0z0hwIlLzTvmuM
jVLlFtOchwN8agCR+pi3tkvP7bYAiB/E3hAE3hYzyrFIa6Ek2k7TDQYVUqSL6HXmSJE/Zqsq51tY
MpAR2Hue9etH1NBIvZmq9euDH0HqePCB+nYXcA3ox/saltSobRpK5vOAeMPybeloac6XRXkDAL45
FMkqUY7EwJctZivFMIDs143kwvp6mJJxQXDoocdbKFO7hmGVgBvPMDMn5ESvdWIrwWy+rB2SgR/8
qVLDRT+uQXPGEXu3nr5tnkHrIMcFyfADJ+UbYD4vSksqPDPArBX9TDI0uNv1BpV1hQMSG+mpzZ96
M11Jr3dRsnhe0GOxiK6HXMLQ0xWUBnAVKomeyquBu9qD3UDBiw97Oh8/uIV9ArTkVB26Vi5B7GO/
q++ivg9HrD1FdTfGRgxQVQNiQlAUz/3CT6OQeqDXRKrLLsOcj9MW2yi8EF3dFO5zLGczn7cr1/Sp
ny0jaF660p4tC1/nJ8G1cVcnD8doP2ibxRpmN12MalSdwHIzO5y5GGBei2WR/GzIoTS4xKBEQ/CO
2ngFtNVVQK0ogisJHV8hXO1EDGFROG1mZiqgdn2X34ImEaAicghlvi3BbMS5iIwNeDdKJzL5yI0v
wTRvfMyz3K7J+q4d4wJ6PxK3AjyCKMHsu7efAJIUwFsANv74CrRiLbyYjShfy5hilx2BIdYt1B4x
TOrRd25nyEMRDtTMhOUvUFgvto/thBCbbqfdSIsymTr4h6MO9dlMg7SPclA50v8Y+hH2vB4VO0yq
ojHxwQgaYk+MXZbAKDl6iPBo7+imXJmDzE/Yr0L7PZvTnkmyqzYc+g3QgtWCZO1l3uE/Mjv78zKQ
eg+j7nlOfVa2Nl6XnF5hYNXYlGUQf/85BtOPzkJsIY1um6He+PK5JPfM/Tly/Y+GQrSOHMY1eN6o
uBUALQr6JyU0P9oJtXBrlFnB+RbHpA8QSTr/YsBuPfwbDe8fGFZhZPA9UQ9QWDiCkYbJhIf11+Vt
MR715LXwQBx6A8ApdCViAbjswut5AHSLBqv0/KT1ZnxP/5pCdWIV/TO20Q/EMoURzVx4Pd+2SDOt
0wKilguQB7sE9RrGj5jFicO/fqU/IlP9wAXtuwG3GjjFWxgCdPxuXNrMpkahzk0nnExwJ4X9Q42q
dF6af3OF/4DC+aM7UQl+GE6TkG6ZQCbHCNuZTQes+d98oD969h/YZwaJfgPPJQVzRL9VffA4CZP9
G7r4Hz33D/RQlOmdNiqj2wWxH3HeL4fC1tGffPIfGGZjEIxNaxndAoPeYJBaxFkA5PFff81/9M5/
oIdmsytGKgu2Vb434Ex3WRzkOP3/3LOfXvV33NawMhHYQbgu4arhzTtKpEyu7d2/fvI/uEP96Psn
Z32gJzOXuF1yLsOPAZjSlPhsCZErJEJtYmPBxt5D5ETNn4rni360KcqFmjg8W+gWcaj0iXT9cFkG
gFf/9Qf6ZXP9J6v7R5MiXi4RYCFFtlrIHAi0bJYJwxX897kEI3skqLzxfxoSNGxXmPK+XIv7AHca
3WdDYXP0KirfIJ3xY3YRopvjkaMk+/Xd/ef7/H/UZ3v96/sY/vpf+Pm9NWj2VT7+8ONf71uNf/91
eszf/+b7R/x199levurP4cc/+u4xeN7fXjd9HV+/+2GDunxcbuxnv9x+DrYef3l+vMPTX/5Pf/mX
z1+e5X4xnz//9PqhiyZF09MX7+NPv/3q8PHzTyEH9eZ3X9HpFX779ekj/PzT7Wv5Ooz5a/NPHvWJ
3/z8ExdfQs64JNgSqfxF8D99nn7B5BdgrzxkFN6dQB1PwqMGsaf5zz9F/pcggMWvkKBF+eEvmqSh
tadfhdEXnxAqT4Q2XwQ+dIt/+/jffUH/+ML+0lh93RbNOPz8E2hW3x0XnIBDLrnPBEfCILwafpTH
tr6ZvcYbh62P8e/JdmgGrBLWFFwNtNDs0ABQBB48u4HtZFmC+9PBKaZJtVeBQtsDe451qMQxhEsa
YJQ5OmedrIpEL+h6E6AqZkVvS5suKa0O7bnU89byMnJgrnEgNUsfAQWC/e4KLQr1psQWJAPHZer7
tNANO+RyMP3GWgTR7thSVi9rMc9TGkRQJG8EumZQRlsNuz2/ydT5DFraG049KFu4nHazk+J6rdBR
wrnb22gEXcLntGo3BrFutw6Tv3cHvtXrAgRPPyBTl73pamyeQ6tUnywhxjaxplmebxUZ1IfzeflU
C41Oo/NDB1LTxCtAe07Pd4PvW8QJ0z4893lnX5bFQLq/LvNLJEBBjKfGN5cFCAV+qpugdDFrxhVs
0TDM/bQePeDzrFSIgnMaPuVwAAnQCygUyVe6D8AWWgIrXwwQTfXqw9uzjIsWDj0bjMUsSg7S95eM
BBSESXAh4nHKA8BmsvHOhiGqRzyps2vqgcMXHYVbBtjlNW0bHNqg6RMyNvbJ2rGs43AcB3yAqiYm
9udeb7uyKd8wDanOVzAFryFYIR95EMwPmNZhmgEY8JT+PnfNmalWTA6AHM+bDEEFj3qAz5RbRYtJ
NrVcgTnctZhzrZY+5laNjx2yk1TarbKQcYd83duAqbLb4B3Mj24a6+vGdPlNBRJXv8VMW+7zAilu
IOOo51LNnAKsoQUXadHYOUoFt+sTWhzXnzHsi4B3i9kLttYD/XLvEVe+0sEBewfNTEXHgBsEkNPe
h+HhEgAL177v38MIruw38JtbEG0Jb1GXmHYYs3hcuIVCahHDo2WMr4mtp/mlBEZzjgBSmHQXEmOt
jRszDVq8BPE7GSoG9DboiybaTYhp7nbZVJ7G3x04FKkPAGgHQog9HzQJb+wwiYeqhL+PrHK8qtcA
D00k0O7rrByj+hbIdRtjYhXti45F10G+jsfZ+UgpqoeG6jgIRPPSgDRy5DiFvDRoe/ZugBSmQaOF
twWcNp4V2cJA8Zkj8I5pM21k07IXqcpAxDoogi5pradMimGnnFCgwlwB7kn9QQBjKLdtn4NE3Pp2
TKYV6W5gc4zqlsC23qLgLeWzPxXdE+QN4o05QY58cmODVg1PDp/8KiGteLKuEHUC4BxmE2NAXjkt
mH+liGrZRtcT+LagZdmrrlmBACImhZz1joDPs6KVLrdRb+wzbfPhLS8VkKMa3Kh612MfKLdhtdpo
Xy0hWkXFwHWOM99FNs5YxfNjZ9REk7bgcKbKYSzmwAGSJk9mQG/+pqgwh49RTk4X4F2TIAXE2Y9g
8gTIkG4zEHpAGx4XAWY6fC1igxsWxCuveK3QxGX7UOb1x9LZYFtKFZ03WOEwyPaH/L1nDJF93NDd
7PsrxkCWFXGYReS9txoU24UzcpxXQH6Xyrbuq7eihy8bMiQBCJDnIijVA+4oYF5a4q5s+rXd4jBZ
Xiq71JedEv6U9HC/5GiSVbijKAblhnL3XvZk3nEFG+0lXzTGkXM1p7YMMHhFA+7YuarZeofNhur7
SorsVZSeuAwVbogt4x3AU2Wq52KBlRdmiYiQBGqkvafOn+1l5aT/zU45OlZRooyKO3hOcFhTq3Pf
D9uPMepkhL29CP2dCLA7PgKRK8Ho8HXkbSERXviOgNPSbyZC/SEZmzUKL3q+jHuO8uleZAGGQ8Fk
l1hbrBQC35NmM2A8fYxo8VWNgd5HdYECJjT2tZ6tubMT4g2AIfkxBZZ4BxSmgSSeIMU8ASebV7GS
dYiBxepeqZwjti/mqLmWFWhC0FQt7hA0Iz3wulufR7DbzSZoJ7EJDDws9302kuLOJ3qm+NuseOwG
wJqxzUW9lTjuD9UcYjBYEcgm4nDC4Mhmhl+1qLy+nsZV1+EStNuom+1jrWZRXOt81NhQQkVZHAGL
/FpiKrkH1DhHiZ1M8cEsy5O86FsBgLiTM9QRGHjfK8+6bzNY5zqlWndfaU8wEhyHASOfrFQ2IZ5u
RzD1MupALeIY7yNXFEoPtwjQc9bsGuDH6m94kSmXCsC/FWLwAvY0YMaKgxtqJH8F9TbUEuNXmYGt
IvkM8DAEHcu6HEWfzWMDrcTGZAguzKrRvqARnLJYgXebxwTYVg3Km408mGDw5vwUZnA1duzW1nxO
wVB/apXDwlQYc4ORKiATodmxiHowYeaBfMx56R9ULgUIbaZLRmeWlCzF1wqFXJx1/JPOxduoiLcL
iroFY1dpm9ihgJyPqpk8jRVw/k1rsBPDJXRAJlHYkik6EHCHgZeRrjQHiNJzyEk88McSxIZQl6p6
ibpE8dqu27kX/RzPufho267NQZUdg8fcCG+NjQ/zy/1U1WK+XHH7fGCSA5rJ5FDqkLzWY4oQwPac
gL4FLNQv9xV4fZvQwcvL5rU72nkUKceCGNI6KsoDFAz+Jsd89LaiQb2lLqvTDP507xqsgW+iyMaX
WiApe16X4c3rMAKuVkaKdAJRA0MmmrFLzLBY3MipCTZIXllL4H5NxcCFaT3vgeRFDUoDdDttIirb
NSlmgG697ASwig3srKEd0abMFzjjgZeycb2aESPiRZdd4FYwbGdYrm7awEbPIc+r8iDBf/kUXRbG
GuRb3DvC1AetBxkl2BGQkgfmp7ha1xojgbXp5cW0Gnnuj+GyJGOABkSbITqjfe9Vceby8c2EI9oj
kHOXr34IW1rAp2MkE+uJFbuFyuBN0LBAF/HoW9ShitXrTi80m9MKV/kiAFEP+qEq4iyG7+FZpfss
MWELoV7LwuERRdQKNogMwvehW/pni+HQWa2pyNMmFOC84VCaL1UvMXSpZe97CQ8oMGewI8sry4M8
j0GzG1PDwO9Ig2rs2blT0ElBRCpKbGd+uJ3A78bpt/KuxrHq4/XCWq8XtMYyTWYpBCYsNbuZ5No+
wq2H84SKoj0Ij3PoOjpb7psgx9CoBDcAfpNhv2xsgac8L1q+FFd9kKmLuQT1K4nCAfULk91NaDS7
RZAo8g4z0LH7WLk1MtgrQ9wnGL3iM0e19bduKNMe84DUjTmY6/B17G8oBk1Hm+HyQLwQrHmMbZyC
FYOqGFsGprW7wm+qbiNyIvSTomX7GfY6LG5BccZ2oaZTdVTmZjXwoB7rVxQK2e3i5gVZ98YMPnxc
x2XFspFKbypd8AYTmhLkCWzQywjNSD4+VpC1O5zL/nhl2yU7NtY5WIXW/ae2NLidQHcf0sDI+iZH
4uVD2PnyMQQNexciuebTRs5/ALd8OoLs570sfobMngz06ZupLe0L9l+UCwSxliTRYih3uiHLEk/a
FwcY3SxPbbHUKyYoQf3EiG/G9ETT0NgEwPjftRgHgUQJ/uaQKHgN16iU/QpkG69GFTMUQI73AtU/
RuYOXJjW5dGhGEJWbzu/AnWR5TjdYoIkomWXRbkqztaRVUdqydIdLAlAUizKGg6gVtbym2ucfh96
GEoDbke4yWZAL/VIygVGCyyfoHzb+QASvQR3b07OMIDqHfas0pRbCt2fwxCyaaX32vYD3y/gH4o2
lfBkKg95UwILTFaHdgfhPTCBe+7mKRC3tEVdsgPrLASfr4LRFQfjxb7SZo6HBTlx2wmSmXica2i/
QtKCgYbcpEOE9YQbc/WEPs/ZCDK1jYiLLlejULBGEJuBTETvfZw361mVLdkNRhtdfQ0e94rgtgry
s/C8JszLEE872RpWOArmLz5Q8SiJtHPoVOqG9gvYDHnXdRf52qI8MtD4QG8aGE0uxxLc9jMaDC6/
EhO37Aq+aNm0L4diTGdHmxvwUDrvXFDUJPdL7YfrDsZ9NNoO85oXBxqURflcYBCr9xhCLcvWVKB8
fIWmwH+VRVmx2Cwgwn1FpHCTxXxWAUeRNEaZwvc+hT0cGYcBZWY/d0WCURkUwqlaQv8rUJlhTPqx
n8A5yUyYZgVd5DmO727aVyKwZwQT7X4Tgvmwh6FRtRvViFoizNh8lzfIfDgsBSv9bd6bSAC/saq8
aAloWcmqg3bcjFU4bDsvdxAFqYntYFEgs7Oob2dQ60sQDRMktvHsrOns0oWItAv9JcbJoKsN6B31
8DJXKLdNNy/6oo7ACU0gm6IrJs3TKMxZ4zeL3GcAlZZ4pPAxfsQhxYYDmccGZY4/TeduigSGHkWB
7KoHkEIwrwqwhtsbDMdgw8sMjF5BfSnQ2oEdeF12Ur6ANUtJDFqRgcoAHwdy575Y1n2gBHfH3CNr
DUI95SRePT5uedh3SKAXyKAudPUiSy9DRR4YdZ1XBmciycxXL5plHtf+ClmJugVv3LdpX1QDbh45
1RDVRa4E/52ZPC0yzNXDUeOYanIv+7YWqPUOAS/RGQFicHk81vnyvqg+ig7DFCgUrL4bzrrO2Ttw
IlgCSneE858u+uCiziMYtNS3FoxOeNdCT3ZUM1YsqpYMQ94MBEMGMo1ybwMXtkb1LsAMbsHH4/GC
VrjeF0OvWDIAwHscVKTwfYgVXJW6UMEVtJh1eAEfLqdSPBqcHoLULS/tkC3axC20KUECUvy8m1XD
Pzps/SAkQg/4MAQEHVOFwfCr9lhz8JC/AGUMx+DO1INNRr0GLK4V7et01TS6orWKbruiJSeAUB9K
5P2tb1GAy8Em1h9xX473uPJyT0AqxeNbHrTQrwwH4zfzqxp89bgsxQjJmBrhwlwG4ZmLAqhbAT0G
iRVB/aIqxxFu3YOqlvA2ACt4ctT4adPBavRSWtthX4qEllsPH+yxU5U8YtC2QONStcCWGpFNcN1D
s58OfQZZA8ZoOYQIBeLQ0smKDDt2B/7lL5Ddb/jhd7DY3zHJP4FbXhTv0Lu238b/BcAlZNFYyydb
nf/8Gzz437DL9LPOi9/jlv940G/QJf8C9xwaUAZcEEZdJ2X7r9glZ1+gHIPlPA9kGInwFB//G3YZ
ii/gTwHqZIEE8QpEp5/+8jfsUnw5oZlSYmcPAjxj+P+CXcrTAOIfWDg+nAA8C1w1YLCEAoP7hzlU
0VCoaiX43EUPCi7Udh2UKE5Nz7kb3RUUzvfW673bJhoxy4dSxxyhzIMUC8L6CrP0sn7RVe9eMQ4u
Dlkl7QZdGIUYBTUduFDjtoDS9WZm/nyLp88xtZ7MNSrA+hPkibfJDhBqr9LbdCUoe6wl7bWRU3bf
hRB2YPManqKW6NdWINHPAxs2HrKqul5aelu1aAiQbAONaMSmx6hk/sYvVzRSgAhSCaXYXdvKZ7TN
JAkmSMlRk80b5nnTDguxj+cwLNIBqCjQt+4OfXV+chg4QW+jvAWcW6XA8ro7opH9NyiQCNQ0gBTc
j3QP+V23A1F7esJUEFrBMKu/gfbbnLtI5W+C6Q68qmF8s40Y7ksbasSNZpB1EQYDQhz6vEhLDVgN
IHAWfK3QPySMwD/e74Q8nwJI/RJkHbagL4Co/RXRxQW8qyUlBRBK57+0AZexn5kJylf4+rVx7+gF
HZEYHC8nqEB49XDMu0BjQCpW4+AF2QKz+f+72r+bbPxvmmUweRqE/fF+cG2b8vXt9xtC+OtDftsN
2BeJQAKMtiKonFEe/2M3iLDkKSIiBMNRziDI/PtuEIVfaBBwLrk47R+/3wzkF0pCnIU0ohz0BUzM
/rZTfbdj//NBxq+r/bvdAPpCGkahDAnFvx/d85RSyGppkEdkATLt+6Cyr03BTKxElF1HtTccwcZY
0toj7bFxUOZQ3ahDP4vyiMMX5xeluAGbhX6gG2wSwGrelgeIvwQRez56VZNvVuIxQKc0OyMIbALZ
aX1llly30EFENkTZNeuj59UYg0vBT9oBG/eyuDypCBM01Y/AIz4ykJMRhabPqgHEgFDXsIWL/Gre
dsZyTBxEsSlKsNdrMPkFgL28PotW0lyYalmvmoDrd4wvQPgT2IOWIsz3eL3pysjF24bEU11sGFGP
oe9o0nvOJARyqRTM+uor1baGjgKvmulI6RgWpQYTjcgdCMxAniCynQ5e00Yph14s7Rp9Y4qqfYWw
cDwrA1RCUy/mK/TnAi4ZdI7iYYBZC4Yvs73O63neexADHls12VsQ6+kMqh7EUDns2B+QaRkrEFPu
oGJWl0NOJhTAyFv0NL8OUe48nJwHPpEH3D8XbCI3AOPRxvtCXhcC+kDIimCgybLizpU6PMhweSxB
rrzOaRHcRVVHDxbX+ghgrTh3uWgeQYPz0cv6EUo0BX65qpK+66Cf6UxxmecCGFBXBIGM24m7OyJL
fclNjphQkMhRLNpksKx7ZsWSJR5ZzDtbs28LhHmQUMj5KQ/NvsrpmbVhtSkgpL5xJ4lkIcrqGoR3
+UzYbM6hryPHSPfRwYKP8UFQYYKZ2gNugMKNQskaeZfNagTyYRFY+w4aaLczQunDMKMWr/J+OtNw
Rbic6qbb85powCgCavLGCy+QafgJm9kgfI5KvLIfSHk3AP87qym0NCA8c3QYJZDMVS2QCWjPNCsG
SFpfY5hXXUqgtzsJ+ulDuCL+uqkx3FCgWD4Fw7pc1ovMYMjg/PMl7ACQdXDyiLibUgsDmx4E6FBe
oI/D7p23Ztj7eRaltoEJQe0xIMNEXEK2N2668GRDMaLgy9twPow42i+Z5A+KoGaWFejvsEEXW8iU
+T2wWNByal2/MoTwQlFbREVC0TH+X+rObDdyZduuv+If4AaDZLB5NJnMVpmpvqkXQlKp2Af79us9
8p4N332vYQMGDBt+Odg4qFJJqUzGirnmHNOP8liEWWt3yCxc21alEeBdhirQiINs7KHSQ2tNydMQ
JjiXNuwWoxmcXZHp5aFcnSvn5Y7G3dp3OE/OkRtZG5m5AfZ431nmerfGo096yG+ziJzaooLJqL5k
suwYrtNTLEmE1YOeP9Skhrewg1o8n4Zvidza2qK1cXCRLnAN3f3IsbugvDLHPwhCP4+2qj8su/zC
v4782t11yvnORmXfr3Dm97XWWltsChEPn9tXLFtymmzzC2JTj1NnPboiRQEv2n7TNNHyFHspqYUp
Rz8FqBfMafmbZudLm65MBr2hAgEL8rEibvCWkLP1dZGvuzZnveJUWR9UgCxOegb6oOpMK2RN5vz0
bh5tuSmaZ7ZDfJh0R4S4pLwndta8qrNl8PBAf+7GkdWQrNYt72Myg2KZFPnKen6LCV0cTCeDCk2G
a2voxDhmR0tBXI4dhQzZciD6jCOKwjVgIWu8ohtF670br3IbO2ZHqDO+3ZGWeRO3/LYXojiBXAnM
CipBd7kHPEmLnOp2O7d2xiDJ8TOKfNUZuhl/ulruuBqJoNT7+ajnVfS2KG0Nxiqv73pvGo96M6uj
KiZ3T8ZUfbGH7k8TpMnA9XL9kQ95nfhpgupTTI2d4uOczBcb9c3A5FnAWAC5iFgF/uvSxTz4wiR1
zW02siidIzv+PXvlizk1EP2WdIdKhC8ZU1lhwRHhwJDvo9Juu73LkvKTE5hPxlQF7bhIdlpAF99b
uFNsvtwsyBYGTrL3kFVawh4+WSkZmi3t0cQi+fz3QGCQutNdr6R+3zkFyfyh8BPSb5qKRtL/zt2Q
SQRxhKcgN61TtsLuYWp+Uus4nyRzKIXumGSfEs1OSahPv3PXzPdTFYtNFI3nBFhYZuLhyjNt3sJg
IcTc0ZDXV9O6M9lq7EzJExwpZYUGYTbhUK7jjxf3D8TEXkAD9p4/8gUA7NXLe02xDNok2yu5H+3I
CrrVigK914nSRC0jaLf6K7CPXynj4aNuMxHz1YPCHffRGH/0KPZzkT6bpnMxSkLfGr7bEr972PUa
e54i0gJAeMldq+nZca5Q6ZwMOBO4PBAFpWd+dGY2bVgI5AdOib3qo5rktNbu2NRFMhDjCJThVuj4
PpPvgdq/9FcHz8KpQo/4KT1Lw4A6345BZKkiL9W2Q37dOCRzHjs7FT720hBL9ftgjJcoK0/DlK0X
UcZnFqUGx2wBLIZ0PlU43Lh1tE8eqrPQj1pD1+dkkj2coTHNxugbSQ+VITN3VZHtWu5Nft+wKSaq
UeYb8ic4jSd/nt36zrDcGBJz9iMoesDcpHJexaIz2icznpq72v1xZnP6kzpLdGnm3PWnSBon2bdU
aY4TvOsNd+z+c+UY+slW3d3Us17cizxh0l7sueF4w+T/fKs+fmbZaWp0wuSlcSszbx6WUe83Sw1A
R6MoZkNJVSv9FA3hlUcPkZI6mnddo+DQGgsXFUOJzYpauhmmNgsWKpWeNDhChxK0QEmZ8IKCZibd
M8U/HNKNe3U1iZGdZfUrKeqVxTsjSqzXPwV8mecaMkGgdY69HayC09s0S++BVMDr7Iz35JVYcqrk
0qft1h5cJExzeBd9+9JS4eqbKjcfhPSqrcI1teXY884qKpM0XPQCIV52BTKLcYhl/p0l1s6s4v3a
pSfU4P3UT8NmmiwVb1arjIl9mRX3KaxwRZeFFVyordCbfSWH+0XTHwkzfnOgvU7t+LuT1g7ZVV7q
OG62sbC8wM5gOMllFZy7TGFREkplO5sMAeRcd5YeRLgBNiarqgudRSQT6NHaTDM7I9qLhwtQBDbL
NTAKnPFZjV9cN595/Lp3y0rMwycKY4WM8OogSPuaVnLRqzw9kd7XNikq3r5ZO/2BKW55gtK0bq1x
kveCTTrRRjAKDLC3SvbTwC86aIrhbGddddQS1nWdlIUvO6Pb6LXpHSMD2VWYYt6b2oiLtdU+M7Kp
+6UpirvJXTiio8YOSfW1PvvSeVOtibxjVSjuGb+bIxogrIBqio9EC0+lNjcfQ0b0ly2/uzGgoKDH
Lbd4Tt+7j23j1lcvEmKH1+fTLRTfr9fW4cTp48+OfWi0dLndN98bu/1sxoqiPQMczVI2O7vPs2Ok
C+1NpqX7TqJTC9Mm0V4AhWxKu44Hfh3pAERs1H5mRMeQiZKFDVGAYM4UqSmvbLuj3eQ4q5tmz9XC
3pMvs3lRy/guirX63nE5pOLqFhnGRVMTzCJ34bYfVVqJTS6bG+LMbjQePCZBminvtljgW947aRSw
nb9Zvj2NtTs9tqu05A77RfSiFvZCemy4mwZp9RHrg3mx0a8PzGDTY2UU6q2NYVCZJeIusbnl0aBQ
D95DX/yuSuHsGqLdf4h9RLuZTu3AbZigayez7gyB9orqqsrPFGgGW9qbEimAEJ4qfUmf4pgpDxZG
k752esGRUdDXZQxRfBGEd3axWeoXgfNig9Ji+nbSdYcIpXqvk57+RaRHsJZyjM2kTeVvqxm8i+bW
8nUhyOETlydHbg7dh9c18WMO8vEJ/I1xnFiCcOSJdOSlBy9RcxMI+cRkAXwDDleVPNAgul1bmTCw
keIZksjaa1AVL445RoE9NepidT32Bl064RpFP5OaWnHjythbVSyMbrMZbVmhuh9ibsGKqNJ8nFa7
C+deNKe4y2zmT1vuF+JKv7iyUmxQxt5P3Udg3rgAHpLFra52nKYXSEnpXlo9A7mlmmNFkRynhuVt
Z9W4IjDS+1ybVIh5AWxK6okjwSWgRIaXkUVsr6WeYF6YZeePTl8e3TVnvV0b3gEohXlHxCP/ww/a
0FNTOyfcK1YLh6iK/KlY/sho/e7LHGQPrZJBPbkxSUSKnPhXkI3HmOdnoaJTlMQXEvRMjsI7G/WC
POXKEUuSTN9SLVvQrYqPCspacKsdPtcD+Cm5Zlt6SPH1GN10ul3yUcnVTzNR84xee6p6bwmjNgHH
xk7vNUkMjWqImdwFhqVqU5C49+0mUWhPrbizGMGCxjDUC8AYEXGXG19jHcuD1uhP2RJHWyvasp3c
QZvKj1E5PmSTvXHiiYfLwkiOEUGLxXLBXdaQQ2KFaC7zNbO6L96eREzmMoNaM64bIqlU2vWNw53b
tnbtKkziSzdakjR5o5L18fs2s68DdWZrol9inp+UlBr6bTZIt1WjaeFYa+AhrSXau1lZsF5O24ex
LmCRJF2zHztvDTWZlXtOiuwowJj5DZHI67Au1q5j+RsoGZ9Hx9Rj/i09PqbzAFsLToqzYXNuGLix
oi5CyzLeDIPhyQIC2RSZPxZVAX6x1vKAwXefVHe5y/p6iMfpruRRCKVFm8cncITqo4wMPjwmPJbv
NlKrRq0TSINbaHjWA33MHjAJao+zJcu+PLTWLYTV41pizJTjpSpzdcn6TPziBGwvtVZwzU1avvEs
J0+zpmKOA6F574O5Rq+GGKywGW+52z7F8kZmGG6ManOxw4jU75w6th9bNefHpbeHg7xJmuZsWbth
NNpvu808nVXokH4gYvbfM6wvcAK4Y9aRhycvDdFWqMCHnm9y7xkTlBrbyoMUox2Y89Z65y49vY5D
Wj71zWRdclAiu4Rd50qErb2a/E4fjNLgm1nd/jU2pp+6yIyQm1B6TCDDXRfBfw1z5AU4ckd0A4mp
slOauHLairC0RsyUUVL6y6LdaRkwHNyO8dZhsIDE2YA4LISX+QY0Gsb0jI+tXnvOk1PMWuiV0KIQ
ScqzXuqh0a5uoOPkCWqsAXt7GfOj15o4BfvqmUDmJ3Gt87oQI8qm9HeeW9kBd9UZaJpJQnEm5GTO
bx2XH5fPsGOK5Tx4y6+qwbWZZknyL3bv/+ktx/9HiqawiRlTdPK/VDWff4pPFX+qz38Km//4m/8S
N13xF8tPVGzcQCbo5Bs+/e9Vh/OXgUJJltFjP/IvCfPvVYfw/vIE1m4EbGlQLHLrf/x71SHkXy47
EA+8huuaPNns/y1183/YdQDKM1FWXIc50QWY+Z86DdIc2jo3mnjb6f2jzTp7X/YUc1axHLaeVk4/
mbsojm3P2yO/gxKbi247Jra5t9fSJDTPNBPyQdOh2olJPnT21G8FStGhv0lSSYEZxoli+2y6MJFY
AlbbngXt75Yyzu0Kqt7hS9b9V5dGegcU1+Ka0s6p/W5Lkbz2terOTdVW7WYw+jQC6qq7J2deXToM
J5Atcyy9Yp9leuPnMWBhvJ3ayHV0+o7StQ0X5YJSmMZ3G2ReAAECXhcvR7r6oDCsfQsygR34WudB
2VrtYeqq7EWVjkWorwF3hO1m9gB4Wa6mAoX55JrzPKpAj4pabRLNk+chcunBBtYoX1Srjx+e7rIy
wk/XHwDURc/Yu3icGnrO4YrFNrkseTthudVmm8dgYqbXvijG11bJNA/hOOkn/D7KH6flIvAP71NS
69+VXpbsqYk0+sCfumufzxoDvCrAuxRCvkb6ZN71pqk9J0Tr37VK5exeTWc83HDLD2MUq7A14/i3
uxS84DGpQb7xAghwzvc+JMrnGt/uK0AId3qR9gkHcKG+7IE4apfoTApU9Bl8k66HZdNMql2uZ+KK
pS9SQe4syyaqsrjgWCF1yGMLOIjtVph0RHuwQOZtxm46Vk7Hk20wCI/GU/I4ECrzpyweBbTjVd2V
HIVRkA7r9En6KztOizOdeUMNWeTbUD84I0YrjAuHw6/1NkT6qk2uIyh7a2vvHa1MX+uu6jeYe5qT
0KriUdOcErfO3FwdrCm7qqwWoJOTeU3QaELEkXhvD6V+4jcaHQztxlGDs/SrWdf1mFhxdF9BQTgv
GW9UCJTOV49qs9WhvyE+oY9zm31umikAjlHhlByS+zyfwbdxh3jB4hlt48G1PlMxLCdQ2hbOnxYX
rF34ptN2b7pef3BVXHwC7lySm/G180YM92rolRU6nkyfynnaQ7W7rw2WCMjCdo22tU4+pjwOc2jR
fjPUwx7pqa4Dnbiw49eo0s98DpxzB7Lp0culTYkd6NljgV/hvXN09xmTW5VvKvAv7u7GdWJInMky
QxwrlidsUc0evJ+86Lx8nT/3uNQNyhgPaB81bvbKtl4pCLcusnTNvWhvHt2lZIyMnCn9o49FvW2n
UoETnKPuC3svcQcS9d6zo4jKZj1kmZuRup183ifLfWKlyYPVUFCKiULH6bq68X09w07bLH2cPs6u
u9TBtCRlaHr2+FGnGWGH1JqOi67kBcc9yvFkjitfqWiYFgfxyObW2btrY8I4q+X47Hqz8TKUzrQH
rbN8eUVaPi+9UbV7w86sL97f6Z/EHk2odVIwtqjFSD5FVFhF0BD7QBlNHIcZsQFyoJdgtc2sNJtt
XmUEMOMGT/gtybGrh1xdmcvM55HgyjG6tb7nZWciJeF2xyuGRJukg4AObjciJDEeM9roQ3wF0YDU
j5Njx3He3/VJDT2ZtzC/1cg0XjsmmDv0PzOMxNrsXdNO4VIW7kWpEq9dQXi/5JSP9JMd1WLvNVN8
kmLM7oSb57ippUQ/bDUhnjVpT13o2IXGXlg4Fyfvywd4NPqjZcwG6TU24smxXifU9KLUMQ4T1vqe
1moNGEu6wNGR3wIuEQFqyDHDCMVnPsOch79+xEkOdWNHIq7pwjx1E+LJRbKfPHXRs7bXkF6ltqnN
OQN21ov97Irywc76KZB8cMOOTuddy/9wZ1zVUzfi9+y7FM966l3HLI3P+Vy63znQ+fMUR/lWGNV6
bNp+PMUgE1Aypf6Vr01+Hkd2RJmCh5KU0jmBneR3aMT2HQ2d+QZi2hDwLFIntSxIjkgsU+iU5Zfo
iioshNbuTUvZb1rSEAod3jK49js++slB5HYIKZ0y4Cwff1tV+pPBDAjtTlsCoCMp8jBU/MJsuJhZ
zU4O0jookV4NqPkbjLXag9AUlro1VodYi4563HJxAWmuh32hAZuHRpIQtIzbByNixGS9pNVhaxmb
VRXPa+nM2xIKwpbWt/cCEMWhqHuxgQDxlWnAGo+GZQDmq4khbabYIiSiD2Ae+8gaH8VoZecZRuXW
zev+AhTjxF711zDXe0LXta86nJrdjLkH1L24uJUBweCGxqkSV2c+br0EdLV3a5dwhuxkmMrFuEgI
KfFnGRW7NNH5T3Cf5a4xs2ObR0MWRHJplg2XI3adwqV2mmTRVO/HtvgslwK3Y2EPH8BHOw/X6JKe
kapJ0Sei0QN2WM1jQ+Z8tzaTC0HPAnrkjPNwKpM4LzGTg8aGkWH6K5zin7KPxzTkiJd5aNV9wjCj
xWw8piEl81J3nAM01IMeWoyOBrS1yOxvRZz56kAOvKY5angN8WnjTBxiIHEA1ZvGuarcKz8WsM5Y
Ltmz2emsDCMPRl8goml+RWf77fF2/1ilDZuvP9NONGzzjn0gD8TmEUhS6leY3+AAzEDolUlDJLsS
4yEb0/WDnapOmKyYj5nZehNRiLUJ9KlfAtNrp7Pj5vKrM/LoV8w/fENaz6HrmTbkUM3ZtmbdvlTO
qEC5QnHqHMSkthzu6yyKX3NJpI3iCfmHroPiHZNsDbR1BWJ5U7nSfdHH7X5SHjjLsW5rNlEYw3xp
WeqeM2DaQRMdL1ge16PBQPaaEnU4ovXNx8ZAGCAEpx/qUvYcSA6Uj1FV1DwbqXtIWl4r6fXrt9FI
fe/C+NmYJAS2HRg9bOFC7lhvguzIIc4B5sGDtXHk1AS12W6MTm4cfYoCF7mDeAgtgSi8P6Y1Mc9V
vBWx4GHuJDPIg3hT9hNgSFvbYCF9oKvMPKJAWwc2BHhRyqj6lDzPgg6GaCA7WldDV+nbuk8rThij
9zPssQ/2qom7OGqmbVmTTVQThn82swaCjao3Y9QGMjWNSzwOJ8NY/gjRUawwckzNgWTa/z0UHTtC
CQLcYNS6eHllbRV6+aknv77T1grf4sSp4rVifAaX2b8sFi6+OYVOgaXlQpq99R2PxaqeIHRHIzT0
borNMI+wAywWJTQs9OckMM35g7803qWls361Lqu5KNOzrZXE6k6HVvHG6406bdmDyoO6Bj5TJznA
dgLWe8otkqMTOc5DTYwM6met44SJ8qshneKmg0QPOimvuxKHNktuLTf8pM7lPZ9Qb/ZreFd33EPK
BxUb8mclI0eqL1K4oAxxkYNhH4e2kD9eEnlne/BcP50S0OhsxU9St9nHZ41KPzRR9mcem8WhWfNp
A1DzOx5Gb++oDOuAlQ2X3hLuBwmbPlSZUmDhOeiZi8ysPqMLoci2rG4PVYlKRwijXnh6IG/F66wg
fVSwClsUW006y2OUAevd0K5+JJgVbZTmqaM558sryxF1ncvkvcLLeI9bKMfX7TZ706nTzZKbOxPb
Z7gQFdw66e1C34IpWxLBNtTJOOnqKA5r5qZQ6TycBxj0yFu5fNO5yvAyuyXkaB54zI/VO0sv+ctT
RX4U4Gp92XYWuSu2oz6ASNYRHRHoh5iSiKAcbEzLNajyaClyWhY49yLX4F9eunHbOZzjs8MmqXKa
F7sf4zdXi5gyS1vfDAxEQE9hTuY7BJT6IFh0z2M13nOizrrPSgFImxxAv+D71HXgQFyzet+tp2+q
VwYyWnV5zNqbVJKN4wGnnjg6M05qo8v1zVyS3ZngK3s6iVG0U1SG4jeQd+937NbmIYN24jLC6j4s
7/Z7IRB5Qq6L2Q6mBbw1WKY4QibEyuq2I1knXj5rsq6adJfdmuTtPfZ0qlHtqv7SecNchlyMuEfZ
baWwxn2uPowTjadBKVr6MyxfknXs45+iKO2YF7LiMxfeyo9S4/1Wa/LNZcw4jAQpNjhyLX/ELg6t
cZ0e83El19AoU3woGFm/Sscbtk2q13s53xIIqVfUyORzyaWnd8V9SxQ3iMYOkjkZYIIoXr51Kbi4
kfcqe+UmN6ZB3fH7kuSd3kn5TryzcFFXmsJsGg1nU8Nt33CkVNLwiV5VARnFPx4D/9h7d7Py+Po1
zETksI1HqoPxVD/mdquHpVOijs575Ptnd4B3imsmhRpF/Ckv1LLvXCfeLlbb4CCu+gO5uf6j0avx
cx3xg3tOZL9q0vDuKDmIvlkncHwutKIGYyu9Hb8eVjnl6Jzppqzv7N4qPyh3G5iNpDxAa2125KwA
qnsLqpQojFTfe6vEHKiENt811HBCk0tLb2eYCfnFqSKItMwgVCNYN9+6RxLUp+hk8SF1O788W7Md
X9NdaGaMSCF2Iu/SoxK/N1AgdssNdQ1KcP606Szg7MgVmxwAqTzL1PoQE3Q75nKdH7SuA2wtCXGA
sXKMMMqd9bCiVDx6RBg/WfqlO7ud6nfgmoRl1s483JhIoZ1P7dntDZ00TV/b+BOEvjGipnrocWqw
OahGcH54NZ41ZU/gD0arO9O8YYfTsJgV2yLD/Sg6s9k5nfEnzZV3JIaBeR+/sondQOjsMM30lQcH
Zn04QMmmZt14np3VOLaRYdD0sZTvg8yZXFeH5DEfd6xLRXWJsCheihYMvA/VedlUCWRA3yqN7j53
+vrKcA0IkLDUsm8zg0dNwyH6GFdNC8EmkcWhtktY9GJtn7KaGRbKRV7uS3ytG8RG9w70KRzXQnUv
tq5VPvxPXGBdfkuCuHQGtRGpAHqFssOkbMOX3bQeS8YzvOrr9E70Z3z2mEIfBmPiNFkz8xVYaXr0
RpF9xc7AWRRN60WuEth3XuvxXWtl4qw60PdoqrYvs0Ie9HqcYbs2q1EFVWbLz9HSgJV4ual/ljYS
PeIBNCcLczdaS+bRreD0lt6EILmGE0w4EZqVy223ibR1i5OzPnOO1x8JrRGvo9PIcK0tLgYuxInF
NaoriXj3hZWXc3RbOftiGCUbI6O8yGZhxMow7Da+k6Xju3DYWks9S66RNYPy7sQKwnfK7Y9V4AGQ
pO79vnYLDHqSqRPrXOVrAzQUh9XirYAi5lfrftYTCkiSaTsY1elWX7iD83OwrCF2MBoQ0iOXp2s+
aXkXsLQ3r6LktyR6D2oT3UwvZqGz6cm7YQzV2ttfmsX9YgYiG2Nlson1OlpTYtARNTC+lPIofmrG
W42QRxplxTm1JN+sAVpLzhb56/+7jtabhPxPY/zfkvLNMP7/CryB0IrE+T/3qv5X9TtpP//Lffv5
+6dL/oO0+29/829V1/rLsSnvkZ5kr+lat7LW/25gd2xdmpjUebPxh5Bu/13VFTZADMYpR7jOv9vX
hfEXDzk0Xb6cbRlAiP43DKv/iRWFTZZ/QtgQ3D3Xli7eVdzt/wDg2KQ1RjFkPdl8/NlPyeC6z6uj
MdLKyrOvlkN10EYTgA+VPldbS++zkBuB3PzjZfvbSPtPAgipgBsN55/OWb4NSIPgP6SJeQqmyH/8
TnQ52qm2eAZxT3arBKMGOKVedBjj0nge8pRz0CadQ1qTiZ2GF8Y4t8D4LjIs5Pxf6VYTebWr8qT8
JRMsDoppA/opmtWmBH10T3o+OqxgAjcLt7ZLkqVsX7LmdgsESfiQdIDs0sZQBzfBa6ih9HLixkUU
ai1TKOL8EirC6QEotOldGJYDm9CWKkTz9k42xPrF9+CPBBl/nrTfMIsD4ZH5k1PeCIbMuoDq0/YY
rpgO1643P3WpF2dp4kTCa0Pyl0qG5jTbxKdh3n6ZZr/+FnkrebTq3o4quvHY51N3z7gEdyNLcu4n
8VR99Y7bHZju2mti9eKoV8Jg88Xl0vas/h4Qc7SxFNk5PTOPRVXvkVIZRckWccPwiOdm1kLPdybs
dzGwrqrwSL8kE26AgcvCIVMmS8PRNO6aJNa2/BF9NzM2bKopaffYRby7WDOnw4gctoHss1VLzFjL
0v1E9VUKYtVikpuaOnQGKosDQsAmD+dJhmTayf1Ku3+WjV4z19xMv3GTPFH0Jt+d1Y3CFs8y/jNd
39edufKjNWBUFhwitjad4zLPnodp1t6mCSh/RqRub1gWG4HKSEOsBllgrlhgmjJzQ5Jo6sFChSTE
bWvDearL9pjGJmIDnGJ2+GcrQS1T2slt2NbHs0aDm+5cHZN0ga+zPg5WHaW6JHClSRDXDsf7LjeX
HgOyfeNoLsUe2+hGRcBdOuIOnd0xnaRknxJgg87QqQ1tdOneHC3OfTCtlzrP+/cUO+ROdX0FoTXu
A5yD2pezkrRAS1wupaRzy5tu6wDeVlvr1l5XA4q4/Zf9O257bwf1Nn5bScizeBHjckbMoX8iqcQD
jA1xP5TjfNVr/IgN5ys7d9pEMSFeKaKiraIc1l0d9/1DUUh7VxTW+sCFLQubFf9kad4GUQCE9/mS
cokTRhyaLCRDOmMg4jTEW2XS0MSidIOjpq/3jAT1a6G48Hip09AcltM855V/TCCCoZi88jkiVOg7
uG0hQfDVh6Sx9+NMc/KczNahkr27U1weQ5NAIHNI6dx8w54XIju6wcxJvmlRcfcohG6YxwuBNEdW
OncWjvDtYMqRO5Nt81mDfLLR6hmNS5ULW3NQCMfl5rEczNm+Ug9mPo4I8LrqLnO9EtTEsnN2K2vZ
ZYUaN9Zoi3PsJlePh0xouNZVH8oA09dMlaEaTqMw0+8Fl92fMp6HwCug6XG9iO4WMenX1TGb95in
/p7OERt+yFijGFj9YVWj3BK8tq8d33bQkPZ8jCkD+TRqNz2ib8o9Xq/hu0WffuTJ7FJiULW/DFLa
wG3RJzzkS0oN0gFcgYRPnx9cS+ISku2tOmAYlp1cm3LaUOgDvrqrm2EbJfm0lZ3n1heUmwlvREu6
E8oDpolWy7ZsVSiVrFyKKiKsXgEsHqcnqK+btCsPo9n7wsQWMabRqwno8UrqAInXwMpm+Mzp/J65
kvTURAl3eKCqg6WFoXfta9cAXcpJj18JiCPgSXs8E0hetjzTll3HNYO1TZl81EKNY+DGLZ9rAqY9
eSQuUGs9qTggxA3L6SYxHB2gk1Zo1t7PQsVjfKiVahi8e3V06YJ6t1Kv34P+KbnJ9RS1KNexdwqU
+kpHo1f/Sat8qcNobfs/ToedIBrX/p3g1rCv7epKQPMNm1y3Vxp7BdatEpx6imegZgvPjt7mBrbq
q/UBM9z2MBzF1btVAlT2qD/1PX1yDtFE/cFSluqQGNFUkLa6NX1C08TbmEyj2JXRZM0HO1tG764u
aTj7sTXZDY8iK62nGK0A+bXW6k+c9/NnFBnqtWIPc6bcUyH0VhzQoWj510pvnV7qzGo1DqnIeo3H
8T0vPe20uHKOTrpF5ZbNPtLGXw7v91+lofbt/U/y2Hz8V3MosgmA6HSx/4jFkI8chZ17mJysyB6g
eeCLcET6NABZfEoEhagbahcMeRlLr/kTs6aAGpE69ptqZvObepLlwFZJ7pZ0tE/4D9wfr2SFjAcL
BIXmCnkXZdacYLuZmicjkfZZ4Vn287xwdqNoLN/qNAgdOVHLj9Kym0eLp/UT1rlmnyk8+XGHnMT6
MXFtn1X3zHU0MvcWzojQ6Zhd4Gk4fj9Oziv7x8K9diJysuOYP2re6J6oIkNkoOwyvHmzWSt5eqO/
VV6bfkySdJnf1umKv6SIezNMq0H+sjG0qGsGsbwK+1QBtejobvs3ub/zYQ2JB4E8y+NWix+SSU7v
RVuLF1ObzKcKMszREx1EQXOurlGhxS/K9igZQp8AfzxqbcesNWVA09txU8zpRJOm0YOCwpDDlKbB
t8dqIpqBOwDLlB8nnY2tO2rsDSg8GV9wWqkMe3SDUoT3dmZHXBp9uNJzgsB9Y9cGoFDmfQa9Bmk/
PkRo2V+Jo02kn5fkLTbK7uwQvaEyJBGBKi3YGbzAJPU5P0tWNpo3I8+W83odesr92gb2WYCqpzGL
uTtAR1hUFDcTEON5VPXzqY6UZgGwmAY2K2TdpyOr8eTIOEOTrwFI/pmxwX62uPHSgYZgSvMO6aL7
vAGDMC02b4W1srsgw7XyyN/aygwnezvcgnylVBu70J3TFHdLmFRLXG5U1/439s5kuXEmy9KvUg/Q
SHPMwJYEZ1Kk5mEDUygUABzz7MDT1wdlVnfWbzVYmfWmzXodgySKhF+/55zvtG9VyGollPZEO5LR
bUNK7TiOTMoVaxvbtO5mu7Cco+swT/a2s3iPWnHjnR2C56skIkufEIC2vmNxUE3xhon6kyT4Sprp
0XDfGoyqxhrgE5QTpbW/mC+xIuh2BTCYgAV6z1TfsiaRG5A1GTqR5Xh3C0593k1Qt2XQpv7O01Lq
rFI/I74IGlxGaHa2oMeXK+9Q39GQGK89KiW4eebVRqFoTjc2cUbJenq2Lw6bF8JFsYagbmbylKR+
+oQtk0T44oGEFpodJLas2xDHJmD0qpy+ByOn2SAqR/nqdXi9C3TyJPBl65prKUwHdZQij3xT5p5B
VWPBXiwEzkOKphyW/l2vVcmauOQImyPMIxZe7MnnsqmAcDXFuaA+4k6OLhH/Eea8KmOT9HUEFUCO
uhvu/TCsMVh4sjiT1mVzqc/2nh95XDuUeu0Hc9B/9WTPb9ZotMzV0JIeedqwG5pjFp1BrJIwaLpw
kw8hy5zIPzeptzWpkNsw9FS7KCyi82jjWjT6TPucxxAUG54/7ehJ+Vmbmk+9l4uXe5qN7Lsv3Oia
8lTk9O/QrBtlcXuAFQfWyxLFxcW8sGrxDr9UdKHdOOBq3KejdfJ9Dd67RSEwt33eE6oM/4BQIe2g
m+5V2SwcV7nbU0Q00jKpkkp70ZyZZwgydqjWflWIXVrliKeZXT/Mo2PhEe4M864Jhb9O/Fl9svEI
7yee4jsjIkqQo26APysymG7td2OB3nYiokWurVecnFHI0Dnrga2PrIIYCpLRPJn8hjaSJQKOGlE+
VwSxNw4HDWUWtdzkSeheKKuNX/S+uasNp9vSSNDuMpyVgDa43JwbO0pPlEG6PEiMrN/TlcXgFsXG
QVj2tFQRwGDKihMGwWfHyL+10Lt2g8eiS4/xVapUbBP2UActgVPVyBahFBOAo3fzNavr/GuYmv6K
DQjzI1PAOabaew85dzy6+q8UKkLXddY2NVPMa2rCxG3F3KXmkS36lG91DiTaK6MplqwyMF8kCG3Y
DxEZDyqxj/HkUF4YndI5cS6RG+mnwkPdR1Ef0/Vc2VWQAdRjZMx/e2NN6XI7jIvNnyG6iEqSizgF
RJ0mATDZ9D6amGjDJrJOXtdb95aee8eBhdQGjiF5C+1nCZbIUz+56C5m2eiMoKApeBvaa3firaEp
AAeENfYh1WM7vDlHL+1gp8CI9OKdcLEADtN6LOwMactPcJvqct0YhDobwxYBEhe2iLksewgRORQ3
TVKDYdlg1YmHWwElonsia/taMEPM1kB4zCCOBi4lW5zPPP+GgV91WJVEUvKJirk21k5xVIPEsysc
ouGkvwIrstZ+HWXHSs19oGt6dMk0G+1n9Ic96z3jg0IN89Vx5+qBCVgeujAZXtIiLA+k1zSU4Z7g
OLI5z0oYRuxdG8IvnYwvcV7PG8HQ9qXrOldouGVyZXXlbzOubTxR3VnV8tTmoR2Ay/klCLXAaFrP
LMxgbWpP0Nq1E/l0ECij3+61KXMPyugBODmj/0jNZxcUUS3Xpc4AO7iFuQGR5AW2W51FTG5WT8rA
EfQEmxa3SJGD5lApc0LRfMK/tYKcgtq1xRX/0JrGnqIP7SjMhMCGPnY0TnftkdU8aBqCXx4LScNq
7kpjYc1deuw/s+ltAUW9p/F4LUahE7xUj7RPbSMtJ2ba7MMUp0bBng9Fnu4aRkOc8f5bnvtLkuCz
YbGxzpq0DiKvgBSv+nzvd3RbcswUZysdDd7HTXnwvRSkUJxTSmvNJ6eJtY1re9k+B+9pETRbk3XP
9qEokgNkymhnDv2jMAEuY7sb1galXcFMEwlCA2P4QdhcriAMp1+mIbH1AjzFa80GN8B/pDGka7h9
pUmIJsNS7+fhtkzd8KQyWtk0ejr2vs5NfwU1wz0nkRGuPOUGM9ULhyZLkfHdA0Stk46dYjYpX6z0
xH6uKrc7C8s1nxNpUT/bIGBsbGPiYEzzHMYyaB6vX3uyt7dzm1Qv2uhnARGwcTs7AJ7z2a9O9OkM
j5Wb31JbrOREnsyjqITugWOX19+FIv2D/VwjmeMJbDZw4ERFRoEg45YVU3XAtByua2S8wEib6TIb
GL8c1xBfJj8fjKme/bsLMP+NGDHCiPS8GyQVewutUQe876/aiNjdgKl56wwdYbZQ8Mwr30yHdA3x
EKI6hvInAsK2C9JAc5ptZ3vGbkyKcjWOgpeeQg0sCKO/GTXqr1dVY5+hQFEjVjnjmWSUB+ugvESJ
WFGC9E05OWSH2T2SoFUiBZtu3qYEslmX/Bqj/htGjGOuRFUyiBs1FkHbiep9C7tgy7GprUc7U4E0
NLEpcWEijQ1Yv4lA7jm59rTs7XXSO6MFvARxBWtGvvfgNBURfD5O229nNO60AsGndee9reknG1c+
udppWw/DO0t9bFnKNNNDzXHw2OhiujPD+L038ZE3pfZiJr59zaXqPjXbrPb8ObAIxhZwpfUBuR2y
bhxrj8o3L6UJWEXiFnfLyjljdaIb3TbeeIBHGKtr+8U0cz3QAPwE3qS/5C5xN+l4zXqmCJ0Zet1g
v6Qj5LsX5FUHjuaV70LbSnuvwVrm/MGofXCALeUpkd8xfyJQyXhJtQ0q3ALEMN1tHlY0FJs79LE3
rfIsPj0gbJMxhHqDj6t75JLdbjMLk0mI7uTr3W1sMkY9ipxucWs+S4orMKKaNDBlgnmRWBkhfaNf
mW2yhc0EjC8xMlZ5unWnlNMGXjYUiMwyDDB/o5eKjdOUJZYBfTha6Vkju1GNScLHsXjsJa2lQ3EM
/dYH2dPfObOvmqDtez/oSz1/AsKq3vyCODwROlIZpNrzSu2dOlO7rkqMYpOpqTxAqe23hOH1g6bH
xj5t9eFWz0P0EaU6sF3XBArSPpngkccbbi6AQ79d9lxPFI2UB53R9xCzGdoUajhDcOJCDWpwK5Tr
7S0jk9xN+muENLjq+7J6AVc371M54UkEGGBu9Iru+aIb6NCsJiKDLhszrg3hFu3GeaQoPFmHYlaX
crZweEk8bgfHkaCUNJXANlJn3JjFaom88IsS0a4i4bxxDXeC0VuZyTNOB+uO9xkW0ek8OWF7pjRv
XpVSsPU60IPqbfi37VvbWtoBTkOyKU2wC3xN96uaw3ZPU+ajH8rH3CjjHeHkakeXVvqiFWy+a7u5
9bg5VzIRySYFMkJfmwbLmXOeORlMLwE9+jey6sERA3gQ5oRpdi06T7S6OGAQrtb1OL7bJSWKE0/x
A6Ep60LeI6VqBtPEWmZpVa9Y3zAtj8r0zm5E49yKvRCkKlvy96h5HoK4iNlQ1fZvl1UXsf3JuBWO
VPegp2pSXcs+3Bcu7WEUWUNwjl4plE/PLWbaY2GS/t+0iQyJUYVLqXk4KbkbqXH6aOTYYVIz7W3J
pMlAlfZBbnEiJ7No5Aqon6HxXMAsfPEBuUbnwZlOdKhqL7RO05BVcfXYtItFEBkYtyCFRDgHM3Bp
Z9UykrmLsXAYddzJLhEnkhuL81BNDh7CxY4YRgRa+CfmRhDhO3OXN17Q1O2D3jn1nzbG0DiEVnse
F5NjoZni3iDbctWc0tzVcSN3dKoyAOmLMTL68UgOOIzOYuiChuHPhMZD5zxbirO/2CoBfkfHbDKM
Jx78xbXHtbgbfpyYi49gR78N/kwKw/FqZjVcOS7/FUcf6U8ikJgB7bpnE1YuPk/P4XlBJciYPhu6
R04Cl5RLEP0ma/jSurK+Q+gnv4SplzFtamb4O1z8o4wh79K30cJT3Hp9+2T46RAMy8ILB/O+m+l+
S5mdT0oJ3q42iy/PKYa9gsX7WUGX3nsVMTQKHHDPl3B+osW+Gk3pfBP9gMFIZB26PSaw7ZwaeAWI
aK4NhzBmXtLEsbhgvdSkYbpW7q6Lu+dhwiIrjOYV3jIWTQjnu9Swnbt5cdFSrFN/WJEHTVXg0yVw
3Vv1urdAkVU2F5sofIoppzyAjWfc6UsM1/1J0bLIAw/v8GS4fxLG/8X42gXEyvDwcmRX62Ex9uo/
Hl/UZ1DAnV6cYVrcene+OZHj38eup9b64gouO+OriCFcNriqLmqxDDdyqQGXk/aJLSHahKX/gTHU
2ztVTB+w7VmQE4AoUv21OI9D/CcUo+oYry2uxgbYaVE8y8WrbOi8/aitjo7YorU9FztqfJrsvkvQ
+PGZiq1bd2edQb318BiaM1vJzYBN4JCS37kbJrV0vVpPMZp6UKQ58kpDOQ+B9oHcASnjouGHzypI
GeYVeK446y62SHIM5LY80nF6mvpshoAydoV60I2GD2dTgGoZR/1ohP4jVSnWKS6KR8GHaCXscdsM
rk9IMHsid303UTyKEQZ6oqL8lkhTCvpmbfez2DtF021BPyEmlT/e8O7HJw4fvjz5pdnFbAFwl5fT
iDqsOzyQ9cWBPvma87vE4hVQUeqvGSxmfr12eyh5GwaTV4Ghnea02laLyb2L2/DWLMZ3olfexfO7
bJ1W8tmOnHunlT7paP/TkfopozduwYzuLBtAHsWM9z5z0SmhJLipE8D6zcvUyzd7IFVVUfa6rkv8
H+l92A5xMCOwPDa2ma+NxZ9virI51Ytnf4ic+MU2pLMnHMFIs3j7CZeTdtddgqoVhvglAZBDAoj6
e7UkA4gQyKNc0gK5Ckm8ZnDXoeTSFL/qbT4BUWGf9Z+wQW2RqPKq7hgNlkdUvjnoP+EEy6bElNA4
02DCtLCSPzmGPEPQF7YlWDk6xc6scyIPrpcbL6JeIpNgnO2Dt6QjiLMSlKiWzAT/qTzSB/zcAQ5n
QWhsS55vF/8nbaENSvuaUwYzzsPxPhnn4RBVS0LDp3DzzU4a7Yl7v0lfGlEOtYQ6FDv2GFB53AIx
X1IfEen0D0f5w1fsdtzrWBr4A6JQijvmBKgd31qcWP2LjWP6OvxkS0j+DSUa0xjfhRjMgef+JFEy
ctZPmQ6JMVYlSZV8Ca2MwrWf+1iP6U/HJ3opIrss2GQuWRekt+wa0SAGOusnDTNHOckY10tIyeA4
Tp5h1jcH5CjGuKI3ki03amvv9jkpG6xdJG5cnLl0axPDkW7xFcPrhoLRfXEtJ6sDxUAGoja+MgY+
BLeZhdVKw6B5aJesz/D32M/fI0BLGmhyypiRUthvhAwXpsFPcEgznfYXvMOEQrklWVT1g/1bMpBv
5wHUqLckkFBZ1V2/pJLsAU24WZJKVZLZ9/1PfCl2I94otctvr1/yTZoWNuhPkMikh+zDpqtYMSoO
37w6/bZYUlLukpeizeDB+TFfZKFekA3CkSEXb0a3uDTYrMXbGg/ZPIMzXns/dg6qg7F2TD82D9dR
ceDqof0LNnQ3bKzFEdIu3hBjcYkYi1+ENI55zX5MJO6PoWTEWmJiMekHS1+LhXUiFv8JiuKuXhwp
0ex9FjFN997iVuGNT+xY8/tDaZTGVQzxp9+y0QO9aWQ0iw3vmKZhE1lRvQE4fuvjgZalKvdXPaUK
xB8MaGxQH4Ma/kYSpC1+ZNMo71AE6V3oa/05qupgmNKGZndvfqHmFfdgVNKuIfsxUEp3V2HWHE1g
rGusUc2eWyAuFlMLH7Cj8qzvnQ8VdkCjZQFUXPhDc5Eeyy/FCuzBSsM0g19vW0+ITfM2jmV4Tw47
2XZKU+9hp39nM0uH1A+ta9E0+QtmTJ6IKVAXMnbJfU8f7m6wnSxfN36NiRcVxZnXkPH8U8JakltH
KuVT3BOBcw0EH6zkSTSsc0MkJ9ufGAkiD35/ZHIm26m7DmdTPaop1feJ3Q87S/lc0HBDoiAeqJdE
OjUHd7Oc1C4XD9I8cOcqDAEELGrxAloe1l6/IH27IVuEWfyKyThsSrt64mbGlNJZzc4rK/MiRzls
ccsvBlXjA/0tPDGIyHPGNLnOay40U5I7Jxuf7nqQMttMaH+XDBDUq6uBgInEuJVYSvdt17n7tKqa
UzXryTbtW/EQj8awQ2RgzdlVY8XuZgLi1RVj+BgPyoELUfOjSERBty6sE9K0fuNVpT/TAV510cPe
XqOuQfmlpw9UUAx99FzMyv0zEUnJdqgv3AFR3dRxbOhw9yAqUU9YFU/RbPVXs69uWjQHBdu8S606
50B/ryS2gAGPIH3EMq4W9sxfaIZ+S1UXFStz+aceHZ1mEAdJxS3N/neGdWDbaVm4N6OMr1e2lbHT
GRROtBPus3zqPtMBG8/GHzQsfpFdAEzLkw8gVHKnWCJwdKGrQ5vXubapkLaU9k1YMt4RTqLRm8Zo
u8F0/hODQ78TgWWZ1KHOZo9NMHWQFDF4n6ZZOeAQiv69m8zpJifOx6p2JSE/LgaNWZ7cwsa8XDk2
hw2aOfN/PcXJQ0fVIutiSUe2GbEI6Eo4PKm/TUbevznt0Xpmp79nAm5PLS7n3yhw/tnuif/3C82F
+zYxA88YG6DniZ6RNdDKNw1B9lrqNVUkBRz3iThRIFKz+hh92ZFPDAd83sQsWQUzM3yxA+XmYdTm
NSLCisFZ0bjiFfkV4V9RXF74WJaVJU5RTnOjkh0CkwZLoOi097BRzYdPH6+zdspBnNg+c9qAXpRf
IctKrgnW6OxM3PV7PDtwMsu+fmUx9J7E869R+RnHuNM8mwbNr0ltE0ThOE3eqHWfX7tJIOvARJ/2
Y8Oczl2j5TYl6AOA/gBDzE+GDbG74t6b8nkdFp5zBX3sYqjOxj0d26AI2PSRSG2jxZ1f0Ycb4QMM
weeMnUZ6EhzQcsFJWUtsZ7e5R/HS8ZqXsAVk1Kq9pxk+Uobm7bRaGfelJYazq6G8wkuyHjB5aOuZ
TT/UCqVumR1Ze6Prore4K8znOu0Ilmq4VlB7BGYO2mJ2LWj5dK2ljX4njZG9kwBqi+DVtWsQDQHd
BZiJ3IiTICGglJO8TKlhGaOg03TjDJupWHeFgcmnmOlMDkrPlYFTO/Cz3PYPqIsuAOpAgKKV2Bma
NJs3hqk/uez214nQ/Z3D03SDvpuftcy42fiPt61TgnWzZ/duglnKfV+pXwM5Jrhy3ujdW4jfEMbt
2b8TiZ4/INL6j4Sa1A0B2/lleHFx0iYHXa0QA3Zyd6ImOsrAEZIeerQmVEbaKN9a9tApAd5mvtCg
k25x0jQ7jlL8LjQvX2GCPmDeS8+KmWuPF9QMrNF7gfYUB62sE0ZJT8nnGr/ObYTbrlait+QL2VE0
Atj+mJsSsISVOV8a3hDrIg1BmeeTS4I1XQDh8dHOE9aRoUd0zQafE6Z50Ju5ty+gmB3YZQww+qqc
T4Qaj3qFcWaWDfvNxiU/BIxZvFGVguvDNM1XzTEfvCZ89lU13uImKgI35BaXNi05l9GOg1zJ+xid
MMENtSe9xOfH96fTJCs2r5kq7lKsx2vgBweTcfa+oNd6P3KJOvtTTqKEy5N5qVy/3LP3+/La6skS
0wmGSsAkZgPlzhFtBLzzvQRJ+AZzwd22JDZ2tmXlz3rv8uDq0KQPpCmOeun0J3YCeEIsWwWJbtQv
WcoL5VFUt+KaTOixQagWiA/t8kiHfU/8OdtGdST3hpZg6yh7bDuiptGcGiuoyv1kiFUVocvGlsju
eUwP2SLJqw0nR7lFkxQnEFbfVaOz62kj6uKSkdVehhR5x3PLxj5vThB/BAXgfqSehi5Sd14BfN3v
vfkBi2W2mQFuXyNfLx5qhosHslHGJorz6n3KBgkCslfDSS3BxNjXvT80nYQvQ5vSMD9zKWUjHdbE
BNu5viIv+a9Fkk1BlZRsDWAPBWkBZdGmCfogR7s85LFrANhzABwVLYvyOc7gLYxmd2M3EH9lI3ry
KqkKa22yiMTuoDunyWmtNz0dFc+zuWVrqOwT9A6fhq9UZfi2EvQE2/K/6tC3KFjXoy+WhMwQdF+h
S9fyPuESTnVU09tHr3tbVkGvIsSVRZuU6N5nKhUohjKTd/xp85Xdhok1OtQ2c+PLb2jn+sMEP/Aw
hmX2FEq4T8gCXO8LbVqZYF4eaYgTu7iv7bXhOfHDECGfrytSSMculukfSr+Gx4LjFWFmCq+1X9s2
3okMH3knrY0Go/fY56a5rVvOGi7PhbhlJMTeWbM4FyQrYOulR94QWlB7RTGwHvOeC7hWTuljWmq/
6Jjwtk7D+dln4TGOFOEd026uUa106gEG1oopn5lVUXYA+NxEwxjUwL/BMX5o4cWtWM8MD1ROMwAa
Y98EWeFW8HpYZFSSMqnKN/Q/hvTCEw4d+CmV1jfca0PC2A7DwRYxLsTWzudwbOqcty1X/dXosi1A
jTIexrINH6Tvl0CBmL0KQKCcrsw8Nndpjl9z3+Sui5YWp6c2zdSzQ7EFKB9KPC0tw3QO5rgJmJHT
V19WE8toLYzfBgp05MrP5Mjagf02VcnoQlqipVtXANBrDWf+LKrE2Xkx6l3bERD0uXKu6XjnuELr
e2Qb1u1tm3qbcV5275Xo2z+Ya6a1B5nhcabK/DBMS5jMmNoVly7/WKWjw04DJYaPar3qLJopp6F1
2StMDmBlbHkJb0sU7FzdwXO6h+Le4Yzrhm3vh94WNxkzZ5RouwLp5rEdVMWNubX3wqqB+7cedAfI
iJP3Z6bfhpNiLp7TmNfAsVoTpLVTHsphDO8a2TdXK2zTY0y0nSs8RsFV6loeL7n+zQNHuwwhKOgN
KWRPAwOV8Qz6X3jFpKRrYtrGwMN0eH3lt12X4WaJl75n3QRZO8Ey/Oxk6B827qvbUITyI/Xb4c42
EV3Y02KGTQeyK7Eli//POOGjTzHjf4k4CT5/44X/LH7/y91n9Nn8y/5z+M7+Snb/x//yD5azCdTE
8bC4WzjRQfn9H2O8AdPEspYySBjKeEUAofwb2V38zVyYJuCv/spyFn8TpuGQEBbsVn/oKf8DazzW
+3/nR7fhw7NwBxPPd0I55V/86FJ2BkcE9u8RKUNKtXOsmPPBYO9u7f5r97v+7xtil5+duAC5Sb6g
vsBf/vK1Isa+srLbkBOmRCIZ0JSR91J3W1DlOvu44oS97sZX38Q8OqO7LAtA8y2LDABBCsUWf05h
7P+b7+qvZPuf78o0LM+0+fYch9/OP2cDQk4/HxZ7uKm4a3dpfWBTSu+e4W5JnW9mzESuhk+lcciJ
I9ZQ6DWF2MDCCFhXx7an+vvHitjHf0zXNn5e83/OCPAd0aeEYZDEBDhi8ZfviFO3QiuLwk079zGb
e+vA5s56sHw9vKo4ZsawtexaAXbgzuzMx6Skg62b7X5FCB8jU1x8aMBT7jlcs5NJkQM4j+RQuQVk
Ns4Lsxg/XPWVTVgMOkBiZXGBOp+kgC894qUFcy8Cl+9ouJHE2ogRir2EpSW7jphJyLAvgl4dn26c
yioCmVkXP+3ZD+Hs1R5Go3yYQ3gOkUV7BHwZb9potIeMvb/CQH2MnHDX1+W5dQxCydC9mrdlGIYs
gDPvl1acHLdnaBrNYwXg1bD2qQ+fangdenyFGOVxBSv3YHUv4dgfvGnAvVbuTMi9eQurrIvuZ+p7
XHmXebQLiBnn2UR6kD6bmC09BiU/zM6TPT7maI8AT7eqhdqTYhPscZfUhBy2wPRWBDsgUoB7BX/Z
W81lQPpsTSrhxsCz+JrZSOp1oGqOtlb71fH8o8SQ6BYpkqLNuU6pQYKhk40x1Mp9A081ykij8z7q
yaJV9fhQNvY9v8+V1Mx93+ENnFnyukzwhmwCvcbJeDWKms1Bx0bKW48YhoXgRIN8kA4eKQeMjclj
OpZ7rbmbKurW/fiTIPbGsn7Vqvxo2y9mGHY0CwTIv7ZEpfzpljTF3qOSMffcbZJj8g5RXgWh98ek
I1Tv5tqFwhErcPv0yh1tfDBmRdEdNxLKSkP/FuZW+RWZFNCQguZFywdqzVbsZ7/bCXCgMUflp29y
tq9Me/nQhA6J1TA+uKP16LJ6fnZSY6AFJqI+iow8LnU/2o2j62cr3I/RSw58Z01JHO3XgNfqlZHq
1BmEdp8/eunUb9nRumzBZ3B4BdwSCiIroic2gYw9zZw9UgHy9yUequRs9ubVblrnvpkH96Ez8nr7
8+D4v434+k+LTP45B/b/Uk2zpXsGp8h/Hhe7fMafzWcbd83nP2fF/vHv/hEWE3/zheEL4fhwpAU9
R/87LEbwywa8C/7L47SwluaDfzsTjb8JKpodIF9EwzhP+Efk2JemZhBgjm5zXjo/ZDHds/5neTH7
r1XNDgk2i2PKNKlj4eBezs1/SowhuHt4GTW1YbI1Bnx57DPU0AJenGPrT5R2/lL64/pmgAIxN1Rs
DDUJ/UjoJ1/Dk8LqQcJnKAhAvOUkkPy7oRfL3yha44s1NZnbZDYPLguknNt0CJQucyMG9VCTWXVv
N0nyqqHoR49issbynsRW1gaJTFiflFYBAKIpHHiZFkJDE9ATB2agm52Ua/JAU9IKeB4kY98gvwox
gGwwUJciuhVdpP/RZYlaqBzDX9dp7x9q6rwejDTWDFa2NJkFOPktu+KjW6dXdkzjWdRZTmI/I4JC
bmI8dh1HWNAg/Yd3IfsE2sS8RKQPXmq8QTWe4MdqQhEwdo1ErsfQYb2W0LO5mhWZWIiVJncAak9i
ZK9URU1QDnAp1lyt4yfAYrmzbejuxi9oNAjUI6gbecWODxsEm/izUyN6a8KcIsxV3pBhvo/G9Nio
itZMsvbwMBwabarV1PoZvCbQTPdGp6fTuhJWj8eUXUQn8V0SDjGuLqyEs9548T2Azeq91bUvu+kW
Nzw1ST272dzeOP7YdizpHPLBsOpf+d9ITw1RcwttzSsPgFtH4m40Q3K1E5H1kGIFi9CMQuAdToZS
uMJfbbaHYpoBfpOXJ9sWMgfMF6tzG+0YuXrlQDqh9WLf2L7ExDiP/a5HDCdO0hDIB7xB/13gjYZ9
K5APsPp4OB7OnujKlFg/0RxcG1gS7M6nv6CdMFLjcIU3fQISlMC3dEwStWDgir2hvG6BCiN9bKKZ
5VzQDSaBs9aMk3A7pemQHcRULk70nNvkhoGEPLQVVeqpxeKE91mZ1q/KCevnHBcbJt6m+c29UVdH
3nUW7Zh5ODWboek6hZu39FdxI/oDZ2DHfXBG7VgLzRtydlShc4RUB2XeJ4CxJ4Xh5ZtYRS00cN/g
NzY1UXmEAgz4IqmaFAQ9cKwmcW8cts5z2/astbqw1g5Rr8dHj7NErOB8Va9eIfUHDbnwYyaAf8KX
sB9IIHAc8qWNxyVqTuMweqXxlDQRJ5ZObgIDgKimR8AC8+88pl5ysMFyrbO+jPUrmz23XsE/N8aN
QZsEmqOI8osv0Sz3yirxPQo55O8davgV5z/GZtw2ACawQ2NqxDRmPbHdRtAWRu5Q/oOFqGNTiypr
dUVsB1U0JfiwJ2isp97kmYBDL7cupC4o5xsxqsFJk2zp6fHE1k6Yn3e7HpF50ysy+UEJbHlleSJ8
0eYs3M0uKc1clcXvjBUASKw42UYEu1/9gY9d3SImkb9ochZH0dI267fdNSpRo9iW0doisuGpxXgL
TGui2jbJfHVM2PLfGn9BH9DcKPf9gMm+YMFOwlRgyt9DSrOeiXO3pxbt/cNOmR43c9fhAk9VsmTi
zHgId/4EYKY3aEFSlbbQiGMPNvssdObOOqufaKo2D7DiOfux4i0Vts5oroi/ONnvyo5RzZqZLtRQ
Iaz1wES+agAf/pb9rIp2MSdOFeQpmTo3Q0GyaKm6i+tSO4SWgV2XhU82PmJEA2YT25OygpgoHJY7
P6/1o8PO5Dg4Vdbv1EQWEL+iqAiikObFcA1HReBDqdvXQU4UXgyE+H1WNB96FLrFsydbTSDV80Eh
0A+aFfqXvSB8ONO+cm0yaaGbzZ3djLw949c50cSvrocBQU5fblBWmq1PVjCIW3Y8PMJzMyiBvoi1
FWGKZqlA+JYSWJ/Hfkq9RD1NfvFEJYxJd5VVzRs0zfABW7R4wjXDK+oYI47swtaTcZNZUt6LPqQG
sBcGPXSksS3tRKm4/HSGsBz22DT79GKZIVNzxCNnLXUz31TgLggk901/CxOMc7rHYw53gtJJFWCJ
LAPdrnknYhIicAugY3z2J/AGPK904JQtr3yyIAmc+0zVGmkTZLAapmFRVQEhKr4RgxzzA5FkjQNg
dvEmx+yB6jUoSWEcEszckDfyxEGBseB26ySFTovfBuXEmjUK8fTooFRZwRpjPmiX3WwTbrva9vcF
m9XfWATq1wKN+14bOlySOBfnr5RdVbMqXRs7lJL9UueZJ1Cmh17O1L5Yabpv7YxysoR0NfEcZzYw
UHrLi0DzO3CXNJcoUvPEgNCY5qfHyl2uPXx1TxOGw0spqhEbbKqwjFlLlpcFLuy9AT39jl1w8mB6
8fAyTqV/TKeICy9owflB5gImceT17XBJ/Xl6GmbhNcEoU46jKG1wbCmn974Zp6c9vUL6XTjGOOpK
bWSDWoIRQgJBLKXgdqApVE9UTJBxkuQOrF5W/m3yHJx8SH7xRTMb/92xJ/seR+0JQlmiAE3kD33u
J6D05i4OQkhtGINEFFBjre1lkomV16tfkqvnOql4ZpKATM0PG7UmW0dwCl+7pDf/tBXM/thS9Blp
sx6vy3pID0KRheAZg30QEPYjzZag4MdeAvVpqF0flJE8sK9yj3rtCmM3mPjTczwwQZZJ5nw9iriD
hgtRbY64Llh1jNeAWDtc0XCm6WEmXw7E3XmwMi1PP2L9X9k7k97IlbNL/5VG73nBIIPTohdfzqlM
pVJDlVTaECoNZHAeguOv74d1bXfZsN3wpoEGvo1hoK4qS5nJiHc45zk6Ort9iienZD7JRJwGtAoU
E/JqsBmm8Y/eJ1iIgDcLC6FgHA0n2r1Irk36/y3Lh8nDda+8S18bzXsPtviDpV38I26nJ0NwsdKq
Mc1G/4w+WY0V6vvYXcBwHtDmVcNZhFTXnul3ZAHFgljRytzjfbGMG7bSRyEncnab0GeXNCO/SJV4
yly2kY4g3PpiJ3X/BdWgGKgNUivHXRpjvYiTAcu2Y+G+thAsIW8TQ0nYKUuGn5EVBR+DLPAylOFQ
QH8pRflRO7bZ3A+A4tkAAjiE1pKbkT6DMedtjKKgY+feh9UHm2JAJQGwjf4YQqOHH045RxMuyjy4
KQrG4jUgV/STqZE/Yl8o7WM5sup9gGz10LdVWt44Td0vY/Zhup88uzCxpse3UNoUooCJYUI8Nnrf
xFxZOtM5kxWJ4gYwSMhjQiGurwoBNLEVkX9TJAi7Q5YNd6aUtOHQzbApjriQwxK2UWBmTHRTapCP
RtrjN6fw4m3nDRZ0IeZFHLz+d4O0FhAFk+nro0/eYPE2FTqo9hy0wdOEcv+j62vWxZFsEEzCyf/e
jZm7TuwJhZqdTtm5tUqyMDKMNc8sZcR3l1rt0mon2gdZT59c5o2b753clRlCQxbm41RV9dpOK/nO
BUnMuOf6bDZ9w37WYftmNXUIsKnPcARGVlp9VWldP+MoQMwnAtyLayfsKDhIWSgI7OyipwFxQUXt
hg3FpF58HNA/Oz7f5Np6mQcUi0E9Z8M7o+1iJYlb2wgkxCM1+ZsY8cZ2U/yYpBbqaHhscqVHh0iJ
2kbUeDBnwsfPqcjSaQfJvksuqgSAgA/fYENvyA4DulW1yKH5f6Sr4v7t47UpCj/aqbqr4HBhPmC3
4+unFq2qA08wskgdS4XaWGTrruIprR6Y2UQPfPdnnDdYFFhSc81virnryBtTDPhbuzqZGfNyC+Ms
Q3P5Cc7DatdV0djUjX4CbzdpsXTmBAihmbIqvIE5jD4qBtsUt5Vdd1c5jBsjTyqWcB1UBDcmoihn
h0HucYvvs39Nu0HVu45tIkkQmdcE8N1ZeNZjoB8GI5z3kWWpl4r39liQY4W+FtdpeVAGO/xNmkul
tqYbs6WWvWH8iLXbGTcJUV/ogezc+zbYuNM2BRBkNPdNX75j0PVGrMF9fImg1kGN9DCmLQtPKDUY
6DIEq0HCR+jMPxDcD68W/wosK0NMxJLP+w1swa7avbSb8ZWYS3ZBiiCsOzwT5hMFLidsgpV1N7Hc
uQntcvzMw3rauZOXHckynxXa71Le0jT44U2NNPRngnYGtxjtzIYiY/bWMeGbOA7ScXxdVl3IJrBu
WHyKGBOzWlUoS3CPrzx287gCCpMY7mFO+588vu6Z1Y+uwBqZ3O49XrNDGMcZhMA42w1mDY9gCp38
zjIphrZhzY78poWH5+7oiE0onsA56Kpob9w1TS5cAomUxwH8wRhQd/SvMjJRmrPOga0FIMWdvjUh
IbwHQ9sYklRbxB993TjHPu7Ej3ws/E2LJAU1D8f8bEGtWzmTy1lDwOe2KVhD544fAZrPadPX09ih
5cixlr1KzOV3kdc7e1c0MdCqJUYnmmAF7tCrufdzo8v2Bu9ySJpSELrQAiPMDX4+gq3vhiihoMTb
aGHKLcY7v/KDeB1pFXwo9gCPdht9Q0TcLOtNDPUlMHu+urOH2VOZe+D7/s3UYmLx4TceKyyWV6+v
zU3VuG6z5W7OEC+prn1oQnJo7Kbzpo0qVPue6BinY2AFugHyWiAIFrH+qPTc341NUpKYZJke7LAS
My4mHoK3pR7MDYHH4osU9vmhj7ngqUbds0TYd59U5CTncTjclv18ikAtkzDnlMif6rw/pNJ9bzsK
ntRFVYf1YiDXiy4JeMK+TTIq3t61n+c5/uDrxgQzV8xAXfWR9YqEvdDON5liNZ8nVMisiC+SRcBN
Dk4KNnFZXYFOc4HqJnqlpsgxnOPXf5Tpm2kRywV80qHQL+yNQnO2FbJ0jim8q0dIcea+8REMcHCS
tdTae6EIbcYxK/CONfJoVylyF7CBsOawKFdjVeySvLGx9ojpBHnF/Bk0kolzbw1vXVOhcEb+kO8C
FDaIpNLSxUuPrPR9BkeIMyQV9boNHR8+TU3RVVv87ut+MOo3J8Voyaqgds5TZwMNH6npU9f29klS
DYcqnGj3+yq9Dr49XVwHw+PKIWPkPIw9VaE/6PlzSljuMjBa0jQguDxNjusSCohQxm0Rd8cjORJD
BYLQopL/zDBi7htd/7pMXrCudwikwfbeti6HqHaTEiE9C49wz6Y3Omgx7evMT/eFjkGA2RXDj9St
9DfKXcDF2YT1ffzVc4BZ2dStk375dhwcnaacHwaQwD9ERhAFopAOjUmMCRYsClvWwuzEWjkcl0xu
9k6ZHQeLvQhYO/euSyXw0BTxORSNsqDYMXK5s0mPXEeeds59Rn/aebJ+GRrz5IkJ9wZOM+chA+hz
QOMy3mdQHsAFxbm/Tov0pc5s9CZmjum1a5rLgH5qKyFT7ypnGZ+1wwYpglhT0ThX/Jju1vGUuqlM
a1XbU3ewR+/iU+YRCOLJ04T8jUIqmDeWQwJNAduDHrlXZ+QqxJRwGTNSNynv3Cg/c1AlWx4Z/7kw
iLUkXxM5dQElZmWJ6Im9edDvldmPT647tjuQ+ZrvR9A5dwD+oTlEiTvdDpkxbDlxJ7hzRbYD5V3f
zHNUWadRJJXeMk07EpXR/jAS33xy3Bo8NEqe9hsiWaq9KLVhdyTm3stTk08VGXxFBswad7CGD5El
BDyNA2XIgBm3dxyHOgeF9U+G828Y+sjbKwXzAj3nn/3khXvOh/KhnoeBcig0Lkib/K0Mh2e9MEYh
chebKIurcu+MpNkkGbnMZeZdKgdHL2uWBWAC/3jkcB4cdTLTpjh6ZuN/mtq+GiFld4utg4IsnK4I
I93taADxBSdtLD4i5kcGOSNo5o7uSAboaipn97tr5c4PJzXWJuYYOsxOnbAoVHv0QRiPJwrbSzg6
089ZZfY3BG7m19B08ArnwLl26NYT15n1pTKmdFhWAITOpkZ8yOfsvXbEYsS30a5Rek9fWC5wXbaO
dcD5V28bM9fTvZmGK9lNxa73MXJDM2xJLRtnJ7Iohz3kP2mi5mENeq+7N+0cJKlTCC69/8d8uf9f
1wqstF1Ws/96rfD0lquMpftH9/tW4S8/9retAlw12/MtZjzBPyDoLMHCwXVtQpAD9u1/2yoI+w/J
9tskoTZA2eo7rAL+slXw/0Dkb/FTrAI8KmN2Ef/Bqn2JDfl9rcsygFQA/sfh1SzTYnvx+0qhoezu
3JGLnWyxqyCHaZUa9StgkmjdUGcZOr2RYEUO0K/iP79U/3Kn7C6RKn/34suSBTqfBZaPqRW/6N+/
+GgIE6IFD5LIjPkQajci9wEd/0LhXi0ZsisI4NZZ4Ulh6myqsy6F+Q6eKtoG1YiPKtayZaGAQ//S
O5CFxhlhV9HM4y/z0k3dBGjnmzZAyNgSWNZMfXmAXRJNXMaMQJvKu+9R9KS3Vb5sk133yQZjsvYi
i7/Qm8uK3cAg7mSJ2XTTuS2u4RzB3gIRhZc175beWLOCaO2Lx9znSTCFQwSU2/N9M0XW2fJb48nD
aAn0oAzuBjvCZOHZ8pZosGKvDGP6lqiasCUvzFbQ9HD+wlrfk6nonPCpoRKkdoE5wIhzPTYG1HoL
xEZ6kGBAzh4e8xbbpurgQHD52yfomzUnLBED+0gFakWiKgPCkuSyV3JvE3udWpX1YAesFNYtIGIC
vgzeNfR9h6lP2jO4ceMwpHWc3zPI6aneJ/NHIduW4bljFNOaxBN+NLCG4QW8Dah5wx/yx8Jun7va
cLZ9SN5zAFHHR4UeUDUcoqTB8NnAcEhq49XtzOAWNShQo6wDOJp1LQygNE04Vd3EHqFI5SPWj4og
yq5J01Pvj/k+g+y+B2iOYiqp/fJcWPiMyZvO4bnFw1Nkl8k+CBHeqqZDI9v6yO46Pu5WpOZbVrg4
fgu44cxE83GfwinJmfSeg1RFu5SODQJwui8tD/MA+rEJ73brH4Qm3THgyXE2o+7EeYKWXa1zJ/fW
WDhD3FgG+YlZk88MRyu0ENjnVgQzM+9lcrJxddc+u5Hwn700NW+rpOI7HTknX9SkZi/fc9x+pFYQ
pH5rT03w1DN+W5BwesM93dIhjsin86ByVlFNccQn2D55ZDUHK4fC5tGPWiwnOCXYY6xxkBHHyZ5A
ICZu1fCa+J0tdpVLKjFvsVnUOEGoercxyrB0J+cZraw9WBLDglIzWk7P/lnIUD8sPAPIronO9gTy
TI+DHXqfc2Q1j97QBt+0bi1Cd+POeE2UNZ5Vl8snO2VVuRnLsfYuMmYxtdiWiQEKeyccdgKJ6p51
a8LCjRFbtBrTOgJxRQbQz2oayW2GfGGdk0Y04tX3W3jTnjOtA0egEQhmN/nZ4g+8DnlCmF3UZU+t
shx0wPWxBdwNhXL4mrVB6l0zDrRxtv0VlV71ocY2OUyRo27ZJcZH+iWCVMOKvJ6otntSqFlAmY6q
eKgZGaMWtIL3JLTDowE0emM44L6LdhjomtrcOaRmndSocdv2dqYf20520TyjTyJHrhsEGZuz8xaC
1991Q6m+LFeILa6X4gF+lk++YSDe8mh2r6Kbu324EAmn0W+/hQnxPFnfmmc9RvlLnDj1d5AQ9jc4
CvIYtwOjwWrS+NbTZWLYdemAPrfNMJMVGXgzFSrRvGd0PtEpthto3jlZI/KbRe7kQJ+mw5dmDvdh
MsVfYWi73kFOBE1scUmU84HOfmb0opJpy95v508xtUPgzLkPoaIBEoCnpIhWzji5rK6MoMFMAE2D
b9oIYYAYCA4kL8BjYChOY1pTEFAxHJVk51UDIh7b7nIqrdoLzrqa8pvZnkS7q2UqMJoYln8MiUp8
dQwnuCI074+16YXPrc3scbOEZEA1wjdkbMkl5rHplRG+wSUgwibUwXCKEMt875JCg36zGrhFNcPo
e0GcJCkkLHO2ISvZtyIZq4smQdm6oVgPtr0x/ZgGiKCbKeKNKfrMeCw6u/pkgov+Yy7j7eBZfbc1
Ifz5K8LANQHjU1688OUnw5u0Y6D6w5RiUkpDTfeEgXHC+0KnSTYxZWG77nStMY0MlfgxVr2NlilO
xS6PzULS8NX6B9jxFpcks7jnXFbmS60YIZvIaN9Vp621LedgE+i52TFKbO+G0Q0+wG+WF5OhUIIf
WGNPEDh353U2h+V+isbeWfOfqVONGLdcR5VnP+E3d+MV0Ak2C6XUiGiThn9Ans7pknkMuwmzTMKo
JEqTHFp5i9+IMxPiLYps4BeQXBlKMlRA47K2XJt0EsK5FmOnWyIFhZkMV4H08e9cPSGz8iTxULOO
ffUtVXrGWIIRlY8MaW6CpUMiyD1jiOLCg+GKbaj29A27MaCHWWwbep2XWAVqVD80mTwOlYEwgMW4
c4WcE8dQ0D37Duy9exESqXeE6uCcT83AaTrHJ7B4wz5O8ShgdXSTAvs2aNVVUNnxgyHACQLemFt2
kP1gLg86/cusG+TpZuB/JBP5JMwjFQkKJRLVr4a57N08E/K7Jo3JIJ8kohIKSh2/EBsoN75Z6nsD
1q2t3fEaDyJ4YMERfRfaSValNWE5Y6mcA2eE2UJii7OOvaA5t3EU35H9wWNruYb8lrF9gNGkUp4Z
1YCiNiP0zrAsFnGYaZMIQDd+68/xmQ5jSwfIhdzVDN7MEgqAZ8VP/ZgMl36u+OGYWKaLVRoQ2WlC
LpJpRo922lAPhEKZ5FNogiRCRgFAYFY9ft7OwLZtlDP068DdKRNTBAXsO0NEINxuA7crwtC0DN9k
UvF6/CBE1jD3bnQ5lPs5dcHgY2TbycqG9o5B0b+yCWb25LZs5zYpATfsf9yqPDEo9l+45Qbyc/hS
UQdRCH3lTHoutPdjdvQVKyYXR7HNzFKxpR9IMIuOVpzj4bVgha1U2zWf3cREdy99pd8h7TcMh/Wy
peubqjp4vWWeIe5jD6z9jBFhknusMbLeIYs6ELAfj4VyUZKyhKJaS/OueJRyqlkH6xncfiZbn5LP
4T6sOtU9a3KOn4fazLZe5LMFWUoVd8Vw1clxcvhSbZPadN+x0Xr3kiHYdzFTUq5JGkhvIt8GcKLR
eatt04IGq0E2jluBsEzzlgbBtSaN55KaTX/Ady6fEpL2DmSCJXjKXP9lbNPGXI+iywhN8+FIHMNR
SQIqWfbx4XGAV2s2TfT4bJmazyC1VLxjhJ3b3OjJ9IhwFwUBFTt69WJKTFThY9mcOyOIWxIzyvIc
J3n1pVH1cMQngkgzPhfJudqyycGWLjnEFMru9tzUQwZyKZeQN5rI6NDA5X0/b2VkYEGIzNFHZxkt
QZkVq1UXmWegyE6lIHZ2zhRbj30TIiJhuRuZ26S3rP4mcGtikYRIKTrKLLjpei/zKXvMkQrYhfQj
JpneVESlt1Rrlv9UzYP17MWm+8xDnfQ3Qjb2KRfxeJ45dFKO9NT7NlVhXwBASOOaNd5QE7w2Bo69
IXq3oWRlxHZiO2y8YelVI9vv2YMcYVJGbQeraBWDIJ8AD226DJ75TIIGwFkYPpP2l3xHxMf0ZWa0
7h8dPUTHrGy6HS4e49MUSXiThgJhj8mtcpzGgaO49OPkxR6kCekwNfQzn3Z1K8XMVG7ObX10OMwP
YZtZp1mC9gmcUJ9zwrgVSxaScVb86tuJf0S3Hl05XqreyXAdx2giVwnlUbdhyeI8adOq2ef91rle
/2z6/kfR5ddSFbpFnrZInX/vBekyAxMUuG3TqSIBX0TJv8nL2CGz91dSE19mZsdSRz8LVTzWonqx
g/wRNgYXq0f+L0Xma4ui6v7fv778Jy+PgtxHXSzQkZvLn//28mnY4qFGU7plqF6vsKkXZ9787PTv
X+VXR/uPv2WAktkWJq8DG/7vX2ZqZ0ar2Fq3faSXEGvGaIipbQO4Tjz7/TqFaGKtrIBhfsH1ZG0s
1ls4+/oM9Pg4OcfJKLqzW+X6IVVecLu8ZWsXXfzFGKrpxbJoFBRD6QLweOLpK9seMgZ//RL/LfN8
mqrP//U/3z5yVWxUi27qXf8+WBGmsMDX85H965HM7Vuhqq755z/250gmkH94EmUe4H8Gqouo8q9C
zwDzA3MI8P6O5PJDbvK3kYzl/MFs1QMxK4XFROe3kYxlk/XKopO/0Uaub9v/0UiGLvLvnwTfdHkS
hWcRM+AsktN/eBIcFpeVYabBIYEPc5hik1E2ziGC3oiNIwwb2ipGvJSLdy97KIhRPI/f8lZTzwq1
0O/qW6PGmxeF+XjyrKF/aHsJODdnOY32AZeqZI06lubOyeEZsdAMv0vLz291CqSvgUQvO8AyRBk+
GGwY2OqN8U/c0DNABiosq8+ugEZJlssSQPCr1gXFDnVe4pCAsLmpwE0/BdMENTwkyWoe8KA3C4V4
s9TLa9R5JbqqMNkrrtCDUQTSOUDcGh+zjtAnVVWfMAILbxNpu4ZDoJJXqJ8/h8AyD4i9LknBkZsS
WHsaSP/ZtLZsN4Wcvkwi7TeyK+rL6FBvtEYIijDKapwAxLp3FIVDjjW9UaQOzs0g1j3BQvxF6oVi
ivtLk5y0MgrNL9QOrBUd+2jCC/meeBQRmFijXWPlYt3yFQHkhlLgwRySD65KCaMqDNcQKJb+wwTg
6rfmay7IKF+1YdHvoQqDFQpk9NgDMQeRbTz2nZfd95lr7LPBCYtNJUPz3hnAp7BlHGJui0L05hrq
NH+nNZgISdImJcIFX3txUJrZcGhRoOpa5kygFqBxZ2T4F7KKrIAjaTXZifpKJ7twtlKoaFQW4WlO
QmxksW8Ep75sKXXot5pjSz0fo39T/U2tHQCzccCFznhhQhDoeGYfrpO2ymBF59J8d1mwf2cdDQPZ
D4DbYgesUSP1OdSX7QRt8aoZeqCTqZcLTpDNQTU6zAEyHZQrL7p1m1vUd7LaCrJo1Zp0eHlHQBrs
OT3gf2s0ih5klSx5g6K/c6Tdivsp1T6qtqQ1ipUpvczbDlKgRQwaMQwPWJnD+OCxQa1v+IZRsWd+
BLAAMQCnsjEUXyix8pOHWDLa6omhz75Hr8tnjrbxZsmaCWiIGkh17hDct3109FP0ZZZDoxQRUqFN
nW960tVWhPNEW2lffFO+EOZ3BcjMwlAB4W9Vc2AcyYC/MW+ziuz00i4f4Ev8DCv52LGenVDXXNjA
Hpw8vc2Hrj4nUbix0xJo3i2huaQ7AsJEcIkQpSn5yKzB2WgYrscIIsBVTbbxydcZJzmOn968Alwx
QCL79+Zi9y2HcYVVydwhsq42/KpfDCGpkjGD8jOCSzw3rOSeuJxjBaRvMzR4zlexJ9esDImUSI2P
JQ3sMaiMcIXr/+rDAWxZONDfkuHIeDU6ZA4hSJBWnnImb/s0RZJBqlJ0qL0IibcL9T6Y0NuJvGzX
0zybWxbdxpuUNaFI3n4s6LBnmyKnr7zoUACQXNVL8IRMWFwlgV1u4LKUt6ZK3Ndgih6tLIdU5Fvd
fgizikcm2aWSTbiwPVhAFJbvs5zbbSOmrfDH9kwVPa7sEIB2kRFe4niPHH23UeJEK7uerJtU+TuN
cHpKsmwnJ8vd10Gzzyu/2+ML+0DqzgTZnT6jNLyzScxa97N0d3QHTwaRXZ+D9tOfCL2+frud/knZ
Zf0yc/2fisSXCFsE8hGBbc7zPc/7B2tVUY290SvQNUZEdkqcJxajr6yAYzJWzl3Myletjblzqq1T
p+2tWY7qJUpK6uWRrrhf5bhdOSe1y1NHrRFcEwvFwTYaIXDyvVS+DfgCG/tK9aTrlU0h6D2JzV2J
ZkAKzgDeYxabz427mcqugTdRNSCgRdyB1ohco0G84XBYFEBN+olOfOf8Ok2MXycLTExOmXY5cMZ8
jBE/6smzDjyXUPQaZA5IO6Wx80ncfdCJMXmg3kzvyLKSY2pwo3fEraQ96mhXxW4HMIVdJSQ3KAGs
7e2kB2kaD2QUFicrSWPQy0myTSx8QqnFjj3Po2BtFQEpTp39MOcIQBOOs7NbhM6+ZlSwCXrtrEUJ
jwIAFZbrwrqxWS18Clh93xqEt9vajjO+q20Ni61NkXzvk76kAid+g7CEcOZpcUnG5duNX7Jcy0ok
KXoZNBKnqcbzhIGYhDWCLLdj4KIir418EwRR8T2ug/mK30iuWjNHydQkpykS8toRmjZCJYuKHxwK
LVoub9459NboxGZUIgixk7u+6vyPSDsdfInkvgEefeOalE1llCfiFuFXekEV6RFO3mgzWSNdm9UZ
trh7ikcDGbCfG3vEUfLdD3tjL7BBX0OCEdD8RNF7SDTcYn+ou9fJWSJE/N66w9Jk3qveBaYsxE8J
JYnusSVOpXTqCAVFc80grQCYsPYZGd0ItYm8GdqFtWX0Jz8iRc8dG5Ih4raB7sQ8XvjEuU1nWsKX
mAhIOLXJc0YXivyUqV0ZBfjw0JyurEo8sY8AsovevpGM1lLCfMmf+MC7MgBAN94Rg5LFwCp9X8X6
xgamEQvwOtBjIBs/hxH9Xg3qvx9+KsFyuwwu8CGXRD1otxCXUc6P4pLW9mcpo+A2ZWi/ESyHd/5I
5V8K/UYX2N7EixGtpZX8oFcf0Fz77X3OXOfYts6CX1T+Kl+IwH3fvlMs4jx07I9eZsHOQHWHcyXy
YUwrdZKJ8QOHeLTPJ1Ncijq4TZqZxNi0s7YFtv+N7YlyZy8OdeIGyJF3mnntVh0qtD5j4MRpJYdk
q1GNUyXsyqrVt3Mlms00T9Pek1WLjN56bKJwvM2EUEcrZyxmiAm2TYucJRo9cZ8yAbnisNnaQa+O
BtCzdTSYsJFClKQ3jOVhelsG4rY2zPqt1YnqKyVngI0MI2HZIdnN2Uev7NziT5UTbRJUV4CrxoQb
trOmH6Pj9RjLx4kufeoYKPZNbr5gS9Lfa82walWoJPkiPBC9S74EnCRdpMmcs8a22htNRzQNOXn5
KVzu6Ga5rdNfF3f16xIniokL3faySB38Xxc9FC0u/flXAYALhWJg/FUYsB+jSHCXegEugf6zMf7v
buv/0m3RGv3bTuu/2vYt/73P+vMH/tJjuX+YwraAkeBCoKNa0tz+TF7zgz/IY1vsa1KaS5fFn/zV
TOf9QfflUBSyNAIiTiP117W3Jf9gRewEvis8x+HpEP/J2pvL9e96LIYMpknpKQCSYtrjtf5h2FHG
3mDG2J/QCM6UJOZoxGLbidBO9mbJAgCAw5xdfYWEkGwQ2yfRL5r0soBISAiI9fLFbxzTazZzqcWO
amYmcD53uvIwGogFSQ3DNuUHDY8OJvzPSSzROLQ16kY6GXbiCIreWi4PpssTmiyPqlSFdR/8enzB
doM1M4rzaAXq2C6PeWfJR3958HkHp725HAYl5qHbpAUpwzmRLAeG49o3Xp5zqXOU0OVwqPxKVV8O
mrnxy50HuhSnBseQ7YD1LzmZwsgQl95oI8Q58SstpDpNFnUWixgXv3Ib7EpOORAebBo498gfIc9y
OQr1cih2Yzgdk4q5+LwcmakySduuXQzJbHxuCk5WbzlizeWwTZZjdwh4TV+5n2HviYuux495OaTN
cUJBnxgXt/agCc8/IcAdDc51zfk+1vYJLttZcu7rqbvJuQcUnRDbSu4GWfrDLuS2yLg12l/Xhzsd
umxCxj3YT1HAFQOKdd4iaA9JpOMCqpebiDt7qz3vxU3MZQWJ6t5j/zo0OEHGehssF5q/XG1iueQs
brt8ufYmJfdklIG74kpNmwoE9rxck5K0vMNQyZ8smUgaaFzzfrZd627qHBwmjexecyZcKK3cfil6
UG3GcLuvKTmue1j48r1BObTPutq/o6rxTja16FcTaJRPUtk1vLSR3UqVD+cmTu9MUakv2VClEq5k
Y/I0OGJbbEmOylBdpt0vhfeDqDFzdJhIRCSo92ejse/ARIVAPvxrWnoBE//5wY/L+9Qz90Y0eNc5
V8PR6TN1UrVepptpaF3J6GIF6kzvmZOwDTKy1xzn3m27hDlb2WwiOG3TB8/riGcjA+M0mj7ISNff
EQw9sBK258UhOp106t0JPKQPOmpbcfY8hr1gfwtRb4rJUAiVJQN6ynSoU2sjG5C9YcSmD016ftlN
Vkmeu8TtYMq4ncozgr3DHDIuPQO/sJFYD43v0+ondo5dr1d2QUKMO5vmGlk9ONwKCmS0bT1/igh2
iJULG7IMvQ20iQHMdMKEedUZBTv3IqI4PBtS5frQiaDS69hKW0xlqVTVM/kyuGF5nn1NhnXuLyww
s/SZjfgFoJM40RORdhTgp7COs4Eyw8nEKoJ66D/CcUJWl7JlLtHaq5lSPYFRvENilgVYVgymEUyg
2dgRCuizXQ0iuJRRbzro02x3slYUZEBkNNjDeBfmaDg+SkTdORENPqF1gkRhSqU6cF5NK5qei4En
JtAJ5Nio8Scyl4WqV9yuMaNoa6DdtnoD8iFQI1ZXCCbJmATkw5vlpcaq6eWWvPDoW5qYPCEa2Lul
gEqnSZE/tkTofQ7k9ErA+QNCafRoIr3iJM2THRvFwt/Sg7bRJUZEOp0ki+J9hK1Gby1Sg7I1HrTZ
Zh+Lr3+fd7Enjm7NAOC9boxO7QIvJVDByvGUsr8TwHjwta3rsYsfgoL20sEYgXikSjeQ2Ht+0Sr2
OvSKY+OsagDgWTnDN7Cs19RV8S1zJv02FCWO/Cwe69uOCQikUH9OjvkI6ceHB+rELU5It31KtPcU
6/EFx+a4aYt6+uE7Qw3jOc7u7URw7KkIt21R6EdkWpBD+tb/EVk1Zmlby/lVmPPH4HZE6phd8T00
Ggb3xcZgbI5Wodcnl7+3QfnI+I/NF6uDHBdpT7Z5YIS8o+S3LDE0A4HAGXuLu6lBvGvEY9jto6HS
1qb00mZxfBbZcOLU/t5rOSIOjWv9yPorsx+QJ6DEz+g2NyAs3VNrFWzXJnqF8cHJGNMdMkmAYG8S
FPiYeSL+ADUvnNWgctQkfiPVU1OCkX8FRaWbm5k8CoievWJqUkeMEFU6HdJh/DkC+fQBJRgIvP0I
PAVa23knwpaIlbHtr0yq1J004Gr39jje+nbHMKeTxzB2k3sfVhc4NAhFxmx6UB2z8UcLsPqe8Sf6
pZ4i/InOEuNO2OTZFfdA+bNgxXXAEj4cwz73jNWAO/fNRQxB+HRALwKN9W7USOpXBMj4GJD87jlT
hHYRluiQCdnYXZiuQ237X3421+dq6oavEJpRt8Y46CExMWowSp5BlhsIHRbQXkmE+ZfyXXbFiRGb
l5S2+6EshfucDwZjzF4BZglQlGZnQS4bp8IUb5lrNk9lxJ5m3aZD8Wl5bD57ssBehtoicAl/YrBx
nZwAKHbxi6psxKJrlEC38SQb+S2gevlEFk2dnxkR+OmBHAzp4jY3erRJZuy/4CqyfWZzAR1rFS4N
Im6Mj9Jo+nuYFv6TWRbZuVBaiRNZE963jD7+de64QfCRcUh6+RS9uL1h3lvYzFnHTxm5AJPdb3zL
cw/hEMD9ihxBmI2ljyibUuAdclkXdwNB9Yh1G+LWmwbv5IwWlnjOAGnwGAvjAoEP3iae6brD/Z7N
xIYYBLytgBIXA6dknf1v9s5sOW4kW7ZfhDIgMATwipwHksl5eIGRooR5DoxffxZU1edKqntUVu/9
0G1tpWalmJkAYvt2Xz75jU6lK+TaKdtEmSqPrRo7sZ1Ns7Vvm6TPXhCn+dKRFzCXCp8+MKkE96iX
80jhzLCCO4VjJxZas2efxPOvDl2nuO1toU03tgMO91bTJwx5Y5kge2qgWF3MbpL0cxXxq6+HIUO4
yrWUIG/swofbhY1nh+e40BwUTYAGtwbtB+GRHKutn4ckmQm3eVrlAsUr77xyrOi8RNPo7hio7eop
YOE/UpuGN5nYj/Ao6ytSLnkPajv1X7QwpjQO7wZVew/BmJNx4OQCry/gvu+QAd1r1mzu2c6NayKu
Ys/zLL+hAJ7SENkyddJpjsTGDn+tJe18bgPLVX4Bn/cUmy2fQgVFf+AL0TdfcM5DdqCNguODqV8T
fUZLa4I7nQt+1bRxsFEOeM42q/oX1+jqU57E4WPS1mqVtoASqDxxwgfLDpnRON0UfMIlVsTJratz
U5bY9k3LSrw9SVaXj5URn+wz5QzqIuhIu3FRhik4isxHa1BjvctiDampdFJuy7lyHHTOJMkPZO3N
x8noYz7maUJb9RjY70czGaqDMbmwycC3fPKY42YZNIM9+v0QoTgiuQYbg/njvTJy7zSBNrzMVnmp
pTHuWooJ/Myr2FsXs32mQs1dF519qmcbZKpQD6ETp4YfF8FpoNvrnQdGch9KQY67q/od5Amj3g7Y
AmlFaAL8Nijcn2FYcAQr7QBigD7ssz7nAYUJlWWyFTeJsdFZRGxrUy70QZMHwW4YObZfwfjxdm2J
w8wfRnr9UpqQVogi5Zeqnb6oWoP2qIw4p/2XbAlpMDPzgjXpdUI8vxcal63RjzLjrxPPL/QQk54d
vaQz8GCVWU1Vud02R/biycO/fxlczviTBalSfMU/71f7OS/KgIH+IMcG8jnVe0SopxqPwe9fZ1FF
f/51ls/XsExTZyJknvv5dQxPEwp/ZneYu6J7T5YnPEECJoJwcjMiKFoaf816NBjozblw/+HVF7rM
316eTbm0PCRbz/n114yHMNXo9FQHq4mrLY0B6p4NGnLxcjjo4cXeujXlFmlpTa/pVALY4zTR697D
zOnC+n7MMELQ7QtikNzebh4voyzZBZg1QD+dNGxFmE7BI9WGOLtpm4ZbVSnnAKBiVBLV8c6/fz//
/gsxCeuSkV1fYDr2Lyr0TA+SzMquOsxxi+GXfjb6EvoyHvRN5/SEBbmNu+bh376oSULUMgyXk6kj
8bL/tPNvaL21+tRredFwPpvS5CytoFaGx1hO9fvvX2wZ6X/+xvBihg5Wjg0Bd6dFEvjBYECiHV4N
K8PDAORgYzfic0y1Le4T9Q+/1d+vNKrOOIa4NhQ7y7R/2d+KvDWqso6LAw5ZoW4sA4cKZ39E9P3v
fyPj7x8aPD6LKZJjotDtX1cHYYplyp7t7KAsMKcI9t466MYoPKN+mHBihCnanTfjU+CRN7Q36dCZ
1gXK24oHUfTZfT/9VUYPtbjpAiLp38+Hzfez4u//qn97TwxW90QaEHZ4W+yFN/jTm69ZIVstNz6k
wOLkgaWLuuAaZlj6169DUpgo0bLHtyH6/fw6pI/aOoQdcsCkKmk1gncer8Mgy47fX+e/ouA/iIKA
PLhu/m/7hR8D2vpRFPzzB/7Kwrh/mDoXBjYKoiY/Gi9c8w9u5FI4zndvhWHzTf9/oqBNMnShNHrC
gXDHdd3+SdhCFOQnQNlh5lg0Qd37N6IgcKGf7hASgysYL1oSLXt5oOj2L3eImt1HS2m6uasCA29e
aJFDmKLiOEpK3HrG411f569Rmo/0v7jua4zUdhaW3TFs8F/WrsBwehVBPnhOoiim9Ht2rgyvkAHk
GLVAC0UTcT5oHOdZzASX/QEEwDlIKQP0U0XeNoULtAvpgHv2TKf8NpdSPZOL5nBumdxKHKmNF3DS
GFxbXSM0WKZEm11xHJte3HX4Fk5WW5RHpDeeHF6hDiHBunFtCML+FKUK61QRbTglmWe2nHmt4gFJ
bNYP3Ei0k57wQphwk56OAAfxL7Lz4JHTc73LsWqfHK/s3whhs0FI4DAwisspfoJ4oz8G9jTQPmOG
/LsJfgNZyBI6BTn5i09vufx8J8rLY9OO4dbunfQaxEtj+UnbxWc9T1hDN6WHhb2UnIQix2xu4XKm
ns8pa7r1uMttGfaKq8K1mEF0TP0pogV0vZsQOfAbFS/aXWBmLAeyOBg4FNokAiMNej4+kKm+jsYU
TE2tu3m1hTYDAj+M6B5tWaYcHKjS224i8I5mwhxGP6qJE1SWZ45I9iExDKwEOB/MbU7rwV50WAf9
0fwWqWVv6kS0c/lFZjX7REuZdkpP73C+KJ1PN+rgRfmzCx+pheNM50QhgbfpC6fAgPpc6nLbm2bz
OakMNSlpme87Rr4vVWoMr4bqnSPKSHhClihvifOKR1AazVVqpwnO4okE4Nau9ETbjNTW0bVngcJf
STKHR4DvE3Hh0QNGXVQb3KJM4HZp5UfkYHm2imQ42tiDb2e7QmpMiIEaOFzfcipFHvLCRtZY9q77
UtDrFs9aB++Bs57wE5sSDQh60U3l6FR0yNRVV3bjmmcbsBqOGQ08RxBQpgrXQOSgX3hL3cahHYUY
ASDtsGPaSr1+PAdDe5/rc/DmNUV61FLLepUNJRmM3tme1IngbSoN77rpeKMwosBm86se7Yxwhlu1
/EuYxtl4U52I4IDF1ndb8HUtehO8D6cVBLX75m7JdBBwSEihYpiwq/qtogN+HThlvq5Vrz3VVjNC
WiqP+thpW9kF5dqerBuVgm5kk7H9npQKGus5IHyZd6LdlqVs4A/J6GwBx6HZov5iaE19nTvNfd1U
37yYvFFgphtoPYoYB2X0szXc5Agu0q4AIyWs7UkRwltwupzFa863ntP06GwHIdJiXectZWcWWQuS
/vNu1CfCcNBp7GMDhWjQTU7WVh7RGTyr/EwDi7PhMuwf0biKK00nANpAUttlluq6W+VwzPJDM2tc
fFcLPjTURveto6uTKgpXaRQZqTD6QuuTrq+5mwDyKvVZeUd3Bu26MzveHF+iV47sOQgbbPkhW8fg
EmLvGs2h02iGJmkBilumn2iukFeNhJ2/k9h8LdS4M3Lb2um9paOS18bBWAh6GPLJDIdWTnR5DoJH
yVtLgKJ3/aEip+RSi9qsqX3F7LxwVTZForottt/5Stmxfu+yUH0jUIVzXMRNf8qFoCpXBuklEG6w
1ROyOBXNkoQYU5v6nFnp05b0xriJqYtni0iUzgcg071WVqbv69QZKD2e03g/BQuVo0xBM+S4va5Q
8glMYW/ee3XYvFgCeTFoJgoWSZ1tc1YfgKyK/l7PjOZFy7qUDQwTz1okUlIjwazF+99ewHR1/cqs
rO4jJAANAt7bz6RbIKtPZ6Wn2UsjwpbugHHfzal2zyyaHvDWp3dTXIc3TqvPN0JL8x1EJ/NSF+cq
Vgdkkemiqxi6iTT7RzZV/bathkKsklHWB4rDtGu9hU1wMvk23QxVk52Z0hN8rp1nHK0hew08T71K
LU2f6rgrr3ib01uiItabojGT2FWjj5Qq0kp5E0ZUPkY9mCRfhHNLUkiZm8FV1JYBD6aIeC7m9RAA
O7E87IPTbMHz6G3MvAAcGtJQMbR1Prp5SLNtNufzfTBjQVtRd54+u6z7CRKN6iaPLJZYGFLoTcpm
oopOknzWadQdjB66BYKNHd+DPuJbtrw2eXrzoopYbEOqaffCqJwvBkm+nYPBooKKQSsS4fYC3Jwx
qpEHaaGdJT0jSw1ktusHHvdVU2+NBH4iVWvDXeS1eIaUFpY713XTA9SrcBdYi7E3CLJn/L/zo7Jc
cYb1wv3dYHF9xMBXdyscwwZ2LfOTevV0jXch/bAjt043Mz2XjyMm4pDyBU/HllI38jxWbnJFSHRC
l+Leakf5u0mwja9xmlwnVhPemFVrhn4wY3Dw88FL3wbup8kqjXRTw9BflLcQ2w1GGgBiD6Xg8Iba
lXdHvW2cp7ZO+8cxMT6bjlr7XRyQg5EhFVXSa8OvssNzUzg0oPjTggmaWotqTWvwRpDvpnjCVTc8
SG4178EoY266ok+kjzOOxYRM7OpRYqT6mpnoSZ2JJJVHMSuDXBmvEZk+Z98k1NQoBKnNyE10DDWX
EgKK+ObK7l+8IPxYeo65tNxT7Xq0pguKb3sNY1ht3Oszn/OUlMNxqoNrdP7a1xM6qN1umKnKAC14
nzZcJPvOi+3TWCTOfU+RiK8RKN0lhQdbKcLl5dNS035USX6NqskHNYnmICoNZxBQZeIijZbg3gOJ
VGCFuA0DvtMd2dtVlJvetuKZ8sgqJdsaFETDUTMwwEhrfEyrWQOj5tm4VAoHKTAj0VXa2oM7ys1o
TQRvoaTfDq2dXzdghdGD4uTZmCZxwB/RbZq+qD6LJkl3Q9oWLH/6Yj/KwntxzHy6WRIFn30rIHK2
84DDznGme+T4et9R57OtRLuHQxOdo7Kbtmkf1W9e0c7wGkrnm6SialUF9k1FLO6UazzuC/aWH1OB
aEjHnCsCQE8QNUm3afEpw5NhcZJMRxKC+rCEKkKIsrnmXE9Ow42EIpCPvCctNRCKPWG4ULshH+IL
qbhqC17Q20oQpts5kdUVuyr2mDHUbwydLAna8ZPQSnuJq/oazpzaG3rVrieDELOrwCtQ3Z6eawVg
AwH+zKEzXideYd1kvaBnu+K2XuqaRe1hutNlfJ5U9IHE/lkZ3g0Opnabw7MYuIJjeVdWFambutKN
bVRrJ+6JOWxoyrUe8pr7ql9OY0HKDrAbxwjYVCfpqGFrTkq7c/XJ1F+HanblsQ/acSedyuOzLzPr
G4esstvZtCI/8ZCqd+NAg5m0h4WRkdec/Ro39T77zjWM7dzwNGoJmd3TpirX1tzNV3qrXaVGYt9x
mJyOiQe20oRNd26b2OM01yW576K6soQPjZZIHo2LDxkByT1WbjAmiw44qORk2pVzzR1BYf8D++GE
om+g0JmQofiJs4DhSFxGEKpplDulrDhr+Zpxsr4vG9GcuV7RHQxQF9umnvpb8v0x+F0YYFeWZhAQ
q5xiFhso2jrbbgqKqV4ssvvZcATF4tBoX6lAzM8mYEH8yLmwr82SE0qaAoBiVZoQlsAkWF5SoWxn
1eYtfO3WHuJ5ldZNOMNy1dlKp0EVPetpxCaiqrBYR3gCgchxxLA6ui7TLL9mv4n1TLX5legdeeuG
ugW7TELuJtFV5J/uFBsfIa64K4cuy9cuMoCtux4YUUr6YJnmBNIjqqUQQFbYRE0P0Xdk51ZWRr2h
WtF9aKcmUn7DVnYzouqBFizdrVXbOy+lCd0pYbmuNSpqVlMSNDvuWu/0b8AUEV25jlwr2mUu3o8x
VrtIhBe2uN9qpJN9AA30MCZBu0qhxutVtLfs+BpXCWxFciJrMCjqXh8aDVpkE+8COwvWqR6Yq8xK
d9oyYkiJwo/hajWU9A5wNuRvcnTs4pvOTmkdh9peOKMO7YcDNyNyupBPod2X0bPXDLRIR+GDIrnp
A8R5xOUrfcZBmksTdcN0XqwACl4hBNXrnN55M6aymGHkg33IObWTNUFqdzV7Mc8GPXxTpTiFkIp8
5GGxBsLgrOcBHGpaRuog05yuusEAu+wE8zqIgYHSlszKwOr4e/YF5hQPS8KQNeDbxFrPxnc2ceu2
i/YKP8caD8DN3Mn0Mph5uXEifb7i2rN2lRl4ax49BlZx2JU+c5N5TAoobUHFqsEK6CEKa7K5NeFc
ArbxUtRSFeZ2ztuUQ6k29bvRsAMWhbYRwENJCShTpEiKXGaqOTuUncYrCjCJOjeZ3KWjxubGtPq9
pcngqTNE99ImBWAj4CkMLIkiUTu2E8SzWfQ90J8kjzZOWHlPmZWP78oMgxMYusHeN+QkOdDYLyxm
O+zlRJqTlTEz4Bx104jvnCocqRQ1zXlfjfro8+DQn8Oize6VHlZYghrMxzsthcWPNxgUZe+2Dbe8
vnq2LHVvsvrc6cp9UCq1T9xgWFjFlbsfs/p9rmITk8ViBRgTsmSth8NS77+KqYsEp1PdvQ47E+/N
HGDDjfQqe51c11lBVsOSXTZB/8aVFQNLqjAE5HlEwHd0YMzyqLbZ1hHD9EK6zsW4Vy4qge9GhreJ
RVOdjJB7PnchfXjCIZ+9EueLdzHcg4Jmg1Y+koNkkx46OQUIAbbBPxXW/6pv/6C+GTjFXXDzv/Xl
8R19VypuaYKJflTifvjhv+Q4648lZwcW3cV5DkkGvesvj57+ByCzRUJFnMeDsPzJf+Q4jHiId4uM
DhpFYsf7XznOkOSqoMm4jmXwo1Ka/0aOk96vfBgHpdgSqH4uq1Je7xfNmIhQn/KfcSutMhLb0WB1
NrSJMGFe8MzyzWoG09Gk4B8hKAdT4oM57bC3jURjSOwqazV4jjgXg8HupCspnuqCvD4j22f3aTxo
D9wsokM4lv3FyYvoRIsUXayNLfMdoHVvI8G1+W3RwvUzSWPTVpG5YNojM9oHo5M9zSGYu1WQFRyO
APRieMf9vzKGYLp1OIYLv5nvuQIp7NQouKRyC9GKAAJh9eYUuWy/RxdNZYvrHrtWMIZKgYeetGFX
EDrEMD7hDGYE0u8DXF0v+CfCe/DoBXZ0kXzUeJiupqzOcTkzYH3gebbfxohFm1Jd8z4IjGyekR4o
tcdL0ZiYZcrESJkMqU6+jKAkbqoZimKh8e4UYuS2rwjl5DBsY7MRW4OpmyBYzC2wdIwPNwbGQgFY
FwhEg5izG1yWj8HxsLKnYeZ9hqUWPgo4Lth8JRWvfkxFLyEG0Rdr5AI4YyaKik6nIJ0+oThSpaqt
qGO1VqDh6Icrm6eJnWywlmKM0/XcFiPWenaWq3msi00EOYynDc1BV50zJO9xYeVfdRCI3q7pJ1il
NcDs2de9qT3PnoFUZLdUcuT5zIRJCCAkfA6WDO2DYYWn6BBeKXfwjqNXVPBzgxYQAZZBHTtzzGho
olWvGjq5X/Ish/rIpBftzXZhosL/6GkQHFxvBfGaLftkAzzzy6DxaO/zgnhPSKv7rJpiiLb07zLP
g+zcSU6B9LshzG1E1QFdlKabVpuMrzXTpCkuDHbWOXC69iEqovKdMTIiUq8wcp1UyFdxBWSm+lLn
9vQKt7KkYjCWHKS9pKneDCrHeQ4Zjp3C9yuae0Oa3sWyDC1Yz9XgnZO0bC95VNcw3ovIECtvdBsM
OMX41FqY131sdNrXrqJxcc2BFpmDh/2HUzvMwCOYBOgG3vDQIj3kfqhycDeNSiLqPhciEXMb3ZI4
Y33aCMWw01j5+yGGsCfPGao7W5XzwTSK5bpN6710IyQnq0L68mm61CG72GO9CpilP0IuruVHA9xy
VpNl9V6P26TZWFjxifTEziXTaHHxhZWNPEZJe73Q1m1OG50uIDBA2O19twNpsjMn1/Zds9ZDZmvi
fjhFiTDNbYQqHWA+zcT8OoRk84NyZeaD+QVaOxAoHWPfhy3HHHOuYY2vI4nHdd1F9NJo7fAwDl11
jlwzoBrZEkfac1HibHa78ANjOoKnsX2eWxDC67BV1ka4Q0l6EnMLPfT0dJgT1U3FBPSRA4pD3MjF
iTlFO/7eM1Z4mutJCAofeEWz62qaYlGpgidPkDIplMkWj9ODs9KMrhX+pJoKLTDMYbPPi7mL1l44
rfkwcrTCXkfhgojq+CsGuegRrTKCiGek4aZWJnKYRrzsReNCMbY1aNLOB/rbveZmEjVcIoogHs5E
Lu05t+tLNREX2YLjZU2RzxX7BA2SgkIcxQXbOd11XS888algga3ytn1pwbmsqFL6TPM+IdPQcJ8G
MMyK0mMG2OCqJVdAu9ajrkRyNbsCNI8Xjf2zFYTN2cR0/Wr0Msl8GnQg9gnNZsQZA7CNuczhBtZA
2b+0BT3kYa6+6HVMxznGy/LIo8RewI9Z/WlpIXB/UgZw3ws1DFdxR/qAYxL4GOBQCcBI5AI3WuGb
Lsl1gNOS6AlZhBgD2IBVtO61XycLcOJqGPEkz+zDWVfn+yZv6mPgxMVNzju1pBWpqKdbMUvVTrRm
G+3LXIktp1Slw/orwBkkcERizucOahiOX8qYSEQSXOWrWX8bh8k9Upkh1kZLe4SP7MrNycuK+0Lj
cmtnolDrbKhrFk6tbgFadt1bVTXiaZIlx0+nTmmcjUrxiN28xhaWuEc3yZCMaKHXHN+tQvOmUm5x
Q72KfKwnuZSGJQ5fH9lSULCd6GzO123cX6Ez07htjVb4RPmFnkN2ksY3vWare+JviOLsgCRg5HMn
91Wx+aEvKRPtFdetne8pM8Cig0/HeeDe1Jz73EuuKb0UW5rF5HqED4ZBSmvm2c/oWYyA2GTGVoPG
f06mQD5DrBhwbY75TZpQwp6JmiUWUKWLYFOFlmgYF9JdJXGuqH7qQj19rDyzWhsTIi7WhgcaOawL
7YtiDVzV3Nd2rj/UjJ9fRVKOAaKlAKBgwghPWHVpqyi2ggfA4/Iiy/ihRG+4BOXEcAaBofZ7hqQL
DixjBSy57CD/sBbxed7N0SbWsbP6irctWk0yWarXMpcJLa4ys3qPqUfdjtQ72ttephS2MwtSI+LJ
gwo5OkASmL9kEURqSjkSymVp8rgpWT2e84o68mpw4jfQs685UdDd2OHuC6gmAPqZx+9BN0H4dof0
zpVDQdexPe/tPiq2tTZwsqfPjylzwLjOCEDzuGjZOF5J9gtv1OaS3oQrP9LUhcyQbYtGtw5ZiDy2
aonKH2hLUw/QN8t9oTURsWm92ShmIK65MGEvRkYUDKZl7tAN4P2ALX6webTcWtQsY3JEmcTSDrWE
5cHQvs9GMlBcS15vwx0hOvRlAHZa78W9blEobnQAPXwV2vKsh71zb9rRVC8TMTU9cKB2iTu61xOc
f3UqKApDOWarceUkMnuvJi947WiEuVPS8L41IFglT2WOErDuKjxeVASpgX/SaHBrw67ILvFoITTZ
Jh8x8VTs702rYvhXVjmxiLVBbeGiv6RVAULUIjYc+2ZrmO/4XnSHWp4wenIsCCkkE91SI1/eRCcr
TEgYExEmVBhJDHJJ3E3DwQtkW+7VlDjPvcYVWeRxfyfDut6pNDduBhGJegVihs1Jp3F7cAoZ7hiT
1Gs4peWCDdQ8iuq6+NhRXHJyIrpYFtdkcpaTOZ1Z/wz9ClxFd8sBdqghuvbRS4RRLfQpFlnk7TQy
H/RkrJ/pmK0uXgsnBcAjyJXOCcE7UjxM/03d8Ik2TQxVZsrlZ2lZVe6rSEzXWh8UR68qABnP3tiv
mkHhwcfo/2WGwWMs1uDpXUVQvRB7Cm1jTVX/kaC2uVt2yt2WEl7ABd083PapMro/f0vsX8Wqonvv
1evlg5ko4Q8Mz89cnKblY5WBuDzksIzq/JFx8i6LiP6OILDOHtsArtmA4GFqEWQscqrJV9pUqTWs
Wz74IHC858qg5tQPKlxZsDiAPeMDds2nhDags2eUi1ezdO763KmuGF5g6IdT9oL50IZkzKrtSzrN
EWAjjaYZmubta9yTPa3amRrf3HjSp2M5mj2GZ8/o8SQWwmCfHYKRVJgdvgRZ2OyCQgeUU3wvvQgr
uURaG9cj+RfOe4Mn11fNaJ2vYRg0kEe+d2d0s06PhpPzWcNVMGOxE6UXP/ZeK7ZamcFhX+o3dC8P
zG2/lHIIopJPRupFd5J8DuaCbr7Msam+UgvAw7cJEqIRpPY4Q4TB3RRN7ce49H7IpQGkGcix4Ixx
CBj3zntUxvVIiN6NzI2OqRbfNhoJ+y9h3rgplYL6Anj0o+9NI21m0zqC7k8DSbeUkYx93XLTqEsI
BwQB7Rc9NPA9s+oiKKPHzcCqXa++wDFX+6Fs4quya8rbOB/q58YDyd3WtrfPQEs89YZOC/k4jeHB
67uWAng053iV0wl20LylSyUtan0vvhesNEDkQKhH6o1uHhpYcCt15zgy82oH7FoRXDTa5MxIEO+d
ZhCL3lKnviJisjGWPhd7WqBR0feaF7PKoUwngQ0Giz06Hx2LZAI+CfJlz74jw2tslBfgwDNJoqWI
ajK7ZGfrkAXdP2tl6Hm/C/lm7nH2Fh/kxfK3ZcpGaQG/n607y9Tu9aWjJmcx+JyO9XRIDdprYLkN
08peOm0qo7X5k17niKGJ8tTqU3UGjp2BDzIjqNRlVibveUlR0p68f3gjSuBZBDQraS3r/uS28/Jv
jTIdOt+ynPbkLLloJFPYnlAQBcPVtk8h0dcec7emPyR24N2NgiiU5WIGIaPVOekpqXsOJBQttMcW
MVCsHZCjk09pWbVvVa1TYlPEGqNplCwP5RgmYqNaPhqO8TQaTKfeHpqj4on0DvlmdFYFqyY2w7Bc
0LENmVFnpBQeOGGjPc6I2kAMW4dUVpNItj56urCYrejULl1ITdpTdOWyjJvHMVfLMTKvNrKLGncF
eT8+oNa2X8cwLa9CUPq4zllE3NakeR9ze5kpFGmcNcvtqVjprkHJcWeY59xRwV7orFr6VNJ5hq+n
Jr+Rj5BPHMEiOqEYWSMz8abAlWJod+ZsiYzU4mCi7YfPshuXgKscMJT/10pWqFhN/yBmQQ4kxfkb
L9ml++y+RF+bZvpRxvrrx/6SsMQfAj4MZhTcWtKEJPwfCUvaf9hAfqRtO4Yt/vyTvyQsw0GnEihK
2CYdj1sF6tZfjjJD/8Ol8hgaM52Ni3/wX8VMvV/8ZA44fRf5llkbf5B0F7/ZD45Tu/IWYltXk3K3
XwNqYlqXcRF7oqRmCL8KfqFxG3ryjJT95Yd36vKnrfVHmtfPzlAMH7+89C8+SJEYC3q2JcZI2JOB
usWNlCBBp8HHUBN1/P2riV+dcxj6pGGiI9o6sV4hfpHqkqBPkNuKacuzzTqGdcCghUK8Hl2RbkH9
8YRIkh2fNNDUrHM3nuzlKq10e9073UtfYq635vAJntCFlO0VIcOV2VFbq/Tgua6RnNJaEZEpk5Nh
Fu3m93974//z1/c8w13kRr4rfKGWD/KHD0o0GD2cHhKzDbJkj++bR2mptIYYmQWjgB5jeg4md40E
NV48dgn3FltWMdKL0bO/9/WufklnuL5g8l81qzhHpsXjHD2DFg+euPEBMGjijwP/X5Gz1S1cZqBw
cOlDiop65U71IayF/qBRKIYWk9HXQIh06kNfzrcTdYYJ3iPaAe8sO9mH0/DRpqyfh2jTd8xoASuY
ME5vZZTeVdl0b9WfE4FTXxv9t5Fc0Y5l67RWZi6vSrw8IFoqXA1utyj8DtCLli2T7fLL0GnxZGEd
2olMhA9Oqt8WWhYTpuCVTZ4SZxGO03uSK7mD9zjuxkg1cDkQ+SkL0aXvGJBiLaOLSawxfFMEioAj
Uzx/NAeubWCHR4sgyBlXxUxdX9Jehp4HKFucAg5P6b4hs8lVWMTljWsv4qdXsT8vHOdtTANvYw+R
+GDY7r9WndKPvXHiPD1cQ/jkrKIDcNiyaii3yNnzsSAjRpSPYbYvmDGLBQscJ59xWDoHjvEceASt
FJaz5MYq5K2JyhoWGbEbHWvLe2QmEb7ko7HZGu6Nlh+oEqS9IQ/wDORtfYWLHt9d+cDjrfgHL/5i
qf3Bqo6IbuvWcgnzP9AZSVH8/H0k8GnUlZpIpGdZAdnankvOzzU0WRpKKbNYrM8P8QJhniNwzBFb
r9qv3Lr38S6VGMLMx1H0K8p4itPQ0c5GGc10b6Z6tmttFpUO9tG7iEXuMwGt7kqOgf7t+zX13w3N
PzzUDNN2uRf/3wbp/XszvRdEF75+f0YePiEx/vkzfz7RpPwDKKGuA/c3rO+Nv//7RGNd45ggEg1e
AoDCkpb464lm8tjCHE3n0LJ1scyFW/cfj7T8wzHZ1XjGsrRZ/uRf1AXY8tdHGjZ+zzQ8m1fRXU+a
yzf3hztlajDApmlUwMjR3Bupy0FukbjybTEnyUvIBvCVqsvsUDgZq0pvuXXbo8WQkdYgT3vhwQpo
1D1PpYiqdwy1TyXukBcxFPIaZJT1GPP9vBpgJR0m1MiPMtbM664JR45sTbh3clvqMHI9bBO1oazP
dJwF3PO6U9dOposHCAHsMmPyzN+mqcK85zrZg8gMStI9HcEWg9alrc0Uo8+yl4gc8FoVzTMO2NEn
ctztsWEufGKLn1yRUNvG2HUhVnv9Cnwey88e7kGSKH3tQOWkzcMF2pxg+iozN0BssFGsmCTCaw8b
5C5u43JtjWm2Nusu3ZhsUO5RdiQTRqKuOzIxay8AMhDZ9ALHjn7GgQWQPoq040jPzNbGjnttid5a
dKT0vgdEdlUqTBWJdIpr6m7apb/WYDyv+7usYEPfK0Br+BnRczv7OuiaDJ7CSKgNHenVaOgRAK3X
47wQ1kYTVClnmdns7cXbgZxMsV6n5ncvZ7jCswRVjETQWgDcpcdZZpugUThQLV08BvTEkXmq7HWh
mpoiF9CdryCTwydFtenLFAXtgxd0wVcDRpf0mTZocIlrKlxWE7f4+EDyN2+3DDn6a+7ZTPcWVpgK
6VOOb8lUD9Y2Zea/FG4fnGOarWiwjsZNUw0E2EHYu/G67DyPnsZsslZ8RzR3pVlZXfosACkg5rH4
zZhGex/0cLd8vTSYWdqyOJu5BVZ8tOv7bOJzsepch5Elv01jUtwCei2P2uiYV2kWhuscGuAzbECA
Aa7XPUsqn59QkMJ1u3RTO0l1SvpBfNNGuqVyPREstrq6Q/CH5nwLjex/2Duv3sixtTv/le/KV+YB
MzdhwxdVrFySSjncEJJazZy5uUn+ej/UzAk9PsEHsA0bMDCYQWNaodLeb1jrWT/iWLw5XH1XdUsc
N21leDJzywmkKheBIaFYxuJERtHA4tK5GkCcEWkjDGK4u+lI0I53U9T+rtIyXLUEu4B1jobzANbq
ve3kvJ9MWxGRKuJzO3GjO2m+4YIOqR06n5UV+InbZWJ1o3o1bSdygI54t51XcPGu2GTzoL14wHqe
ojrPDmWm1FuBf+ddhZg0YzRwQdUJcVJWQ8i3r4LMdW6T0WjurGEsSDTKh/fUaponZ7TiXVtJ67Ue
6gg/3gBLnnxvz4C6gZ3ZLtDWww5q6uuoc3wXBaYdnWhvuaC8tr5xxgSZmKjr5xAwZ0e5pMu92SzZ
q+QqZduUcIxw0KcUoaht3EVaYURQLwrrBi8J0gQ4Bvy+OnSN1WAa6ok5qXdE8TgF6OGqq9AjYNnt
U/MmmZmG1KU0Nsyv2mM3eC2mdbSMydqta/cqi6MExm2OzAs6gfElAFt+SUb2V6aBmzFQRcO0wIF/
uRmYqYCs6Dqk48rV1WPSUsftDFfoOVAomXmBPxl+UDAIbFZQZbCfWosCRpaDc2WWntxUJEdtJXgI
mF4e2eUwIEsh1iW56Rt2PUOynT1NXPdonOdVy1H8SlMzJys2zwD2M7JC59U0Ryz4GCgzmW4T9unH
dlbxuU/G6gVDX1QgZYrk7agN5Y8OQe2IPioy3+zWGZ0VqRjxKxOiZQJnZRrRFyXteLbKTem9TqXN
DDXWLPGIHMABnWWol0ZnUXOElm65K9gE00FTulPuWAeSXooUU2MJPcL+7p3ae5FsBCj0c9Fe9EW1
ZVXTcmizHOdgRAAN36Mvx600h0nuhKkzPi9NX3slJ5EFQ1aNVK+T0QENgC9UwP5MzLpdW7rWXKs8
beLNOPbWuIlMgwlSp6m0XVIrCJtXRHvdJ+6C3FZiRnyGhKb70BlnguyXrhufEjzi/X0d6xpQyLnY
yqLu22XEgHEgbYrpXo8ytEAY3uUrQdyus4aJUqLFlJBTIcVNMfJpjX2eTjVF3FROqFiEI5AJB5P1
I7pY92AYPR4F0ojHn63mls9MwLod47gpX+MYQt7KQCi/SzJyDyTBpVckjP1sJq19dxL/zh5HNiuz
E7HNH/PK3bKKgZftyPFtEgP+G1sO7pstddDli+r5oJOCF7Jxz3EPsTm7CzMxiwskQxhZk11QHWZe
q7bkgvMAWi/ud1nu94QS0BmQJc7h+4jvZDyB3I+edEBEDXsd9lPoiVjJKMZpX4bgViFGdezXmG31
TRwr50rLhg7BgY00Y9UX0jloGjCJVcsH4aVGt/swgSU8MdoFvF8YJW/AKmbovkPwP+xCoDSPZMDE
V1nh4IbNND1NNiVsjBfAYvzO4MGLI5N3uwTWQuAFyc1+d6xYCz/jLSjsQ+KlU70OvUI5a8u3YKW2
+LDPBLPJV83KjXKl6R2/oDNE+Y9GG5irjU06XxPNwSemD438OS1zeeIMNd51o5+ecVOJQw5PFheL
N6ecvSVJ1opvjYWCWOtXn6+/7QYEayw7fLVjAKG9QogeT4TfMoIqey69YXRY2pT+UzSP2qNe+/kt
gbBRFyiSyxiGWcWVlZdAXRENqC8O3f4mDW2mdIhE+6eBprMPGO1Wb2QN1AfmGKx3G9Dy904SA9bh
VNQ+yqafZlJY9RYQpF9qkDxDQamA5SR/Twg3BbE2DOzO0561+yqFP9jsUhNAW1+0iENLvfzyYlsU
zwhW2Cq2k/LuUhbA0dZTSErbIZ3lqmftc/FjohZ4ulwiUO3IUaewhzgv0jS+VX2MnJS5BqgTEAOE
NOcfvFbo0eZR1E+q67kFyLhG9m7Md1kbk9ZCvAKCAowgi4mnRsOukSYMYbDR9Kc6zSy5Bh3jnUkJ
cInGDj1ooX3S+vJMMBPazYxFRh+EsdPfMN/lpyvPXDjuWRy+hC6hAgV7CwaoOc8qWKT6SXaje9ur
xIcflPC6k4bRXbDYz1fzqHOiwiTv7qSR13dKhEy6ex1RjgsQik98lBSHJJ7cMwtJq6GZrDkjcLsB
Lk6lsTUqAyS/NWSkAsx6T0VL/Br74za9YSwVgvwRpckuzKuetMZH9GHg47h225FnxM+zBqPuyDNU
23XCmiAS7xkZDp+Mpvi1Ij/t2cKOiuc3nsDA2170iX4v37u59J8SPYEHNDcah18POW+20qt8cuiz
CbCZd6lKnT03bZ2h6jPYiBQpLqJdBS7kHCL+OI12T9YVAoM+DZIk7t7YX8fwZuBJ/Mxrv/gKZWod
nVCLPnBpTBNhOLN/xilwjf5BP0wzU/Hfxkj/v2n8V00j00H4Bf+kaUyK98/4Pf+PS/v+46v7Vdb3
2xf/3j36f9IJk0Od5Ju20O2/YveWeSiAUuR8EPmM34B8f+4erUXtZzAsdYmpM+kj/9I90ljCNF4c
trxdve//9W+0j/Bx/jDYwOJL6IruIBA0LcO0F8nf37SPpoehB8eQ2CH0AgHvdVND/jCYoxqb5ifv
SI4rPfafVOMwG9MU0bQkUwWeSsOD6TbmD67xcs+lAwIJPyzB8MUOAnb6lreZtyWxscYA02fNZ4PL
EmtDA11VTdG1hrb/jhxcbVvJ8ptf1Lc/fKK4GWF13h2ekERtUMjabPOqwgY06hKsoRXbyZdX6LLy
k60TuSWV2x+aOTogObepTkp9m9T+jS6xZ9R+JF/cqPF/ZJor0V4QI7Ejgk1urZLRKVq2fPwRITl4
kwRqH5EumoHjjv1u7qp4jyEZtJxJLFw3NhLVXH4FkVvcYGpVmwn9wr4ihTloWNisVGNTDuGvvChQ
pRsGcTHpupDBdkgRUwJbwqR+HOaq+kqaxL3qdc06NkI+zJ3us+7uxMXyGttgHQN90AQZzFmeVF29
QirdehvyPrlYpiIddmIiswVhSvbSYYw50sD2xzIzP9uwGK7CLElYv7m0cZ7o7nMiYQ7W1Hlroqt1
kssyL/mIgf89m2GEySfp7HMkuvAD3jHhFWPnaD8H8pCvCkqal4qb6YoXnMfpgLwLSUSOGJJdQ0fv
ysATuD6x4tCC6uLnaGNAoI5jcZrj9Tg22cJ64dzEnFJA48uFpLPE68Ib3uaJ0sp7uzBTLGeozGMh
9ZchWpjULvIy3xmqoMb3sLTd3b42kyZQ8FJ3IjI9OjkSWIfBAc4dKSs9McF8EpTYSO+M4gHqTL8a
Om6xfo6tV3LW2Y+aIIIH2ytukjxPiYsT+C1d5Ier1lRF4IXdRmXekipB6GLhxF+Mj0Mqt7J2rg1j
SA/w/1a86DrUXL04q2r2fzi1HT2Og8EoFN380zSa+VEQXP2gSpajq3H0GzpeDYlKrZu3TDf0EvG7
ZmNpsFv4J62sf3R2d+PbrbY2ZFRv0fmZ17M1FdtUuSP26FzipDV51ya6nz+SHWs2wQhPBa4tz5mf
GiR9taV8m524OmlC1HfUzN5pRoq+nZTerqwRj54NDJZKcFdPnveU1SOc/oKiuNWwMLdTGigni3cj
hdGjISb/Gsb23K8dxKvsoBXtbROn0XVf6dHFmg17EdouViXE9BE+4pZgZ0thPQj1icym1Fh7oJY+
BRYvH1WX1uxZ39vbFtrkhrD0yyyrz84YjwIN8VrTVWDqvbZtK3VVDFa9F7hT1sg7HrAMBah3zUON
jQzcXOxqwd+c1X9nF/M/BF1y6pkMdNH7O4bPIfyH9ULopZ6qOo4DmgkiEgcS2PDd1GUZ83Ys6zMl
vrlWBUzOrnzJx9yKFy5ue23PBgr/KCzlqZ8HMGVFjJgOvPnJHyyaO9hX2RkIWPmCdrDddp5KLKwG
sV1s+r7VwxUVYnZH9g+f5+z7s23FYIoOJZ8L9wBBwDoqZwIDqgaLoClpa9nbP3/onv0r+GNhqy4L
OiAlLFdcLp8/nPiT1jNIzCJ9ZzgR5ihkr0Vm3WtifGOnxyaiQiDlIJA5w6z3UHbwGm/FMBKVi5O6
9NjuOq2xcWaifml3Q1BnpqOCNs2HLyrF6CEuxungNWpvU/k11tyMa1O2bwItQUVQzw6w6pFtBmnN
WfLZNCNqz9koLqMU7YGBaRNAPQOPaHTx0WyKwl53GfG7S9jCoRxay0URqvcbnkdzHSoiuyGuJzvH
H4uL9JT/BgmrfJsGfdgqNy8/TLCY1ygMm2tEIfGWhLBiV/XKe4HKFh7cwgov06II4o/etp1l8pIa
VnwcBzXDDO8FKV2us0NkOu8qV+HuEmo6RDEm7ZWy+3Ab9WZ0P0FtIlRhxuzPr60YQGYxaHzf2C3S
u23GJbvJLbCf3EGYcdsubJ9600GLbfn1EyW+HzS0OD9d3We30BO0KRULr7F20hNNW+Su0Zc6T1rv
mDf+LLR7q0NNwZad+NIZyd9Xg5zuycVY/+R4VXkh07C9iMwZjjoE9r1l2PE5bPR2z+TyULQi6IdY
wDZv+3UjupFkB2kwIFNK3Y6qyK4HVUpSSHIj2cVsa3hF5BgwBGzvpQkZjaEDhW5lmB82QqCHKrQr
H9H9Y9ynCnjW7Kh51XeoLwq9VlcznIzz3PbxTo+78VRGwgWLDtKBwjkhNHWiU21Z1W5bA83hKipQ
gOrtUJ+9WoU3zBHqW5ehNnY/A4GPUyyrMSzDm7YFEOpjEL9Iws6uyIjug7gjBQMrXn1ENeTfxssp
kjco2JV3AKcI06K8mUz4ijQVxGkVAFanq7Ej9SNFLLFOuSbWE0dVt5xZkcvpFS7nmBUZ8W2B/Oen
WE64YTnr8hZCmALOT6rfwnzLnd38fTCi8+OQ5KSwA7mcnO1yhoo25pwhHHLmIIhRl5jLeYuxvXwc
lzO4Ne3xWKolfbs2m+mlDAexNdXEiW5Uzd3gNdVp1g355jDcCgjZ9mjO8QQU3xdDutwR3nJbGLlB
imy23CENMCJt7zEgStb99xWk+2SRrHxt6pkdGo33MOmVc9ORJBIiK+VeY2Zm9StRGZmz6xBDHbWh
hvmw3JOyRV2Hg5cbtKwj8aEQpnNV8J62uKeS+lSTRsYZ2hfNviLam2BNgYO0/b7SZx31STQRVomx
Nxm2Bm7NdoUs27/1vquGaSkgNCqJeSkp2AtTXOD/T5Fiek4QL3UH+qVV6McE0ReLQxp5p9iEmhxP
iHnIeve18RA6MDf6sijwj9dxMGDmPKRSmiQeCERrxuATwoYMlJiSPMuuHLNLD1ZfQWyOCvOZXAf7
GoKyuCsngpdXLcr0LaN2/6uZa/MyMtP7RJYzXJJuSh41zL/3IcOkLoh0uQhJY43YmVYbMfXZCc2m
ryBGIIa6djVL7lutya6o6TAjKwQuCxfTdC4F/FXy1eriupcD2u1aee0HXsEXnfln4GOjY7Bl6c62
CIWB7n+IH7yIB45x2DygpoyYCIKugKjMHGtVd2gt8XRoF9aT1sFzR/u+SCv3AhLQWeNN4P1RJNUD
4lm0z5Xe5gdLS9I+KBJ4aat4ECkXby3XuT+m3ZVbw8F2B+XvKSz1j9Gf5adVlYsuESoDgiY+aFuS
ZCBPuEy7cAngRn2emGDvgMDyKQamlhzx7zJvaoV29JtB7Yt0HI9ofd1vTB8UrMaNYJBo+qsxisuM
cP8BLgamTtbtO9wnyRGVcTfypAn3Np7M7C21XCwUOvyhldUW/UfELOmN9XO30T073/hVhgDUDT+Q
vYEkxB+76YvSPZm1z5tf8/qcq1xPbrUmb8BN5BXCAjYC3UpNrn1JeBghJN2142Jur2piEtMZV4vG
7LMnyBVkAbSKAMYLxsWkbzYLBuyl6tBYDFMnrxyL8UdkME1WIE75Ym8+eGac8QBK0WwEBfuG9YzL
Bt89Ijj/CUPgYxorOLM4HGiQwqo8eK0j+LRj9V2VaRPdMfmfdpw8FNZhpj+lY4LtoCqeDLs2X+zG
kPtB5vWzcpz0Oez09gtyESQSkJT7oZ/foIg8WW6OGjJNHffg2NUVbpublAk2RT8iGDmO7iYT3BV8
rCDbbPRh9C3mx5WrYw+264Nwe+7dMHOOzPSs/dzX6cZo8b0kGu9TfbbN06g0tNyxG36aLUDuyBWp
WnvVUtbP5UihPGKnxQ31Q8o43KHj0rYu/v9z0hbJCX5ANJ1kqVV3rjaYDzH9y7hOqrH/GjIWgeQ0
dOJcNngukPxb6X1ZKxYTM1i/FRKVYovku2blwSrHT2uQy1rouElAdqDLdyUnN08Gm/lh3R5NHPF8
fjoe+0AqDbTa9ATtu18LHuiEJ1+DYU07cpMRwrQvAaNslJ93EKjmkcbJwuCpMd8dETPtEoefP+q5
91JQCSaYmif/qvBR3Tio2reWIb03HB/GzhxAMeCWQPlT5BOfWnJNXdrQOIVGU3UHgnJf2c5dzZ7+
c9lSbwYjNN77gdwQNrZcj/VDl3m4nsy47+7MqJ2QFpIV/SNlp7SyYvFU9CVFteRun02SatTQqp3Q
m241xda406XLTIkV5hO2qwZaysRR3LRDy5E09EFkm/Vt7YUFXjRW1lqAga5/YDwxP7ggOOt1pgu5
hvp4xjHO3hCeVH7Jy8q8ghAA5CGM3CtWSOatVEnvBjaKvXKHhlW7h+tlXXAaqZ929hF2c1CqeiTJ
KZpj9waoq71vk4yySCuvCqZ7tk7OVdvloYfdPt25iUSCjnBi5YydFhTOjwlldrr1ASHjJJlyEm19
zwhqdpK9YoxMQXjqTXjfunwR2Vs1o7qNGO8z0WtKM/2ZOtF1lhUlpuNav/WcsHnl/cXlxWLpRoH1
OuVxiTZqQLHLvJIpxFrjnt0RDidfZ6dTj27hW6+hnjnPLoukdY/+/tAxJj9yE8RnNw+1NaQLA19j
TvI2DqU13rpDv6i7YWV7Kwks+5ZNrns36eH0hgp2JrQ9KkgIs0kESF177ZWgyPdCtMD8694bXxj7
QbUoK8NawySN95HtFIccJfDGZrzLAtkf700Z1juHENkdqcz2FnRlureho4KHo5KdcvJmiTQa99SQ
On7tCtU1FkQ9vDh5WR/sb91bLu1NZhrxY5tQ+Q3wA6AwyQYnfOvvozyP8dwkKH6TEEo0vwOW5gg3
0AA/4KUZpmWDOkYRYtPiLgKzW67A38/bYblwBSTsHUGjjzlK8SPMVUlkc01BlsXzVnrk+wRoLx4A
T3WbWdYVXvNRIvieckKWksoz132uKSIYuoxPYFbqHNgzEuq1K/lk8atU694v+IqhR6E6hcimpjLB
UMSy+7OOSmsfZ5wQoVVg8emBCWvA6velyZS7L8t2ZYgsJVYPcEWAiF+to8zBsUFCm2mE4VXJ3qL0
idxjMJNm+iGC92nEIfZUlk1mBicHxwhTfAFfx4PPSS7XdGTCVwaUD3f05WvTzxXPbTGSy0UO3lUM
nQFn2OAFzAnmTTI6GNrMxKM3F1mOF9XxeApC46DayiCPYcBKa3Yl0S2QklwFtlFYk7ZutNCoidhi
S16WafbDzKvstUww6q2wIIV3tjb4MNrc/EKv0p/sBDwrCAMmS+x1keNr9rDuo6R+LVwLd1qdVycQ
Xin9X53ua1Yve+yh+c4e2uZcovPbE2e/rkd0vCPGD0x//sxSNDV2fMKsx5527dJrYDVKNrmbpGD2
ESN/MAhtZrmenSrTOY7dfhI8n7L0X1GJrFkcijuzHHwG5F76BAPZPjRZnp+9pANkzEfwEKr0Elmu
kv9KJPn3WmHsFYJtse6bBEz/OvxUaWmGIRLWnTZN3QbkifvZojNbwnxL4RNmR/9r5WMEoLjErtKy
XgI8EdfaLVqa6cP15rrd5LZDBD1pFuwWlnklMx2CRSTUOWNtxLMNjO57wqmDc6tWYmRAOFWuOCbQ
3+pVR4eorb97/P/VU/vdV3X9Xnx1/3X5xp9VPbVJFPf/7dc/dr/9Ofqqgvf+/Zc/bL71Urfyq53u
vjrCNf48iF7+5v/s//xddfWv5vEIf1G4/uN5/PEdt/Z//Kf3ov4v/3F67xBwtr8Iun77+t9H8qiN
lxQc6huDUF2m3n8RdAG9xENvC093+Y8reEP8eSTv/MkghtcQpJ3SU/nLHP93QZeF5NlzTYNRPvpm
F6/9v6Post1FS/hXLC4WbJvFkQ5C+dd3I3G/kSEZIu+KkA2ipjGBQ0Vhz9gXkuG6tjO32vghYPOV
oamYxIPOzjZs35vTNA7hASx7s51izDJ4iONAn0YvyGM57nO2e0hmQ+ZTtRaRciUdYwgoFNnMh1An
m6qfDgVi7lXOWut5XKodjyZ10zX64pxsmxtDmtlzRDYlQqcKKsVSLylJ4qcf+f6hnBVFyFJX4dlv
j4xT7BVbh+SdtB3ogcD4kyD8Lsu6pUITS62WLVXbMJEIVn2Xcmqp6qrvAs+DTXyeZYTcBCFJ/xV9
F4NMJc2HfqkQ+6lJplNDvvdpaoF+1cAFtqGowt1EeWmnMxk7wqXkRC1ECZ6ZmVqHZm3vqqU6zZ1s
YHlNxdqkA3rorpxfWZqnG+YH1t5YatzMi6cHmSEKPHVRBxcGD+pSFctCX/aFhXNVLmLe2FxMGqhn
Tw7K6g8b/Q5jj1oLRAT1Kf2uwZdqvErL7Jk5R/1MaKzc60vVjjB49Na6A8s0War7eQETrmu2qp+S
PAQS8cD97CiDMx0fLkgapQ0IEMw00R40rfDGq9n2WJbMMvd/MpAlPQLd3VKzaO3JhWPyrtUJimTT
Hvy1VvQ9DkmSMcM55bskdUwIgrTafoNcRtuXjGg27HaNYM6RJcfL3wRxDLooSqR5xxi6+NkoXoXA
bK36CTQp15jwSVJ4ZDhIRHMxmEhiZheI5jrXC3bJNrlhNwXR1ge/aOKLQxra2qjbMOblrhSBKVpb
oT2R8XQJyVLiGEQqZfMtzUvLr/guYbsyZMSQRwxN49AuY2GnnoIXEyJ8M1d0+e0htrVpW8RG+HOq
XX6nDuUaUiAj9hmr81aJN6FqzDvP7cJ3zuNMMKvW+NdomMz1Elg7sT/5FOKNUZ7DpO8CnaHYbWWa
OeMJvzaSrZzRnZjIfO4SO49+IicEZR5WNSugBKWDUxl0znmL8Ynmfaar8EUu5T4Vmv6D2dH0PtO/
Plr8WCeoNMP6qTMX4CMdOeT3wGbv1IIdwAVpJV0NS3zI+4F5eCmsIKdiIeAlN6sqGAfHZjVSECFi
algcLnECbCbgYo5K8jNHd5nVS7IxUPc49yCaMrWyaq2gV0e2bW5SoxHc16PUv9TUYKzpE0NHIDJH
UBOj0lt0GaFzNED+dwyRfP8uH8dP7Dn2YTIq55OAxHxPVEF/N0YO83EZAYQwGvvCk8JUxRD1+DRq
afTObZocwG5mh3oKe+ZaWK9WuUsGiJf5JjupruCxzjHMEMofXqcRedeJMpab1eGGGlaT68t6o5jF
7lkPMqIGzhCYQ+1/tSaTqWDsNbbwXhJ/JHOqPiKAJFu3CafrmXHIJSk77dhPTnEhwQdpQQQyAt07
QfZvWjtZdPGeVZSY5vXqTJKLjoasit74JsU+jXX90qUG6hLbf0OyAguirN3zPNBnCNk6iE1Ffu4n
y3kTduRhGljmKF6XshvrF8pi7XH2oPTIhrWRGYirBorAA2Ks6ojkrs4DQcWQBL1nhmeyyMf95CZi
E7fMSTdjLcKz0xk5KypNJ/kYHmFXL+I3/Z19k//oWhKrWtf5dwSh3U4lsR3ROOKAskW5dTQxkS7h
yPrBdQb/VNQ5BATbTj4rM7YRKs0QGQap76BO5ochtZKN0yWC0XuV7c1Ec4LciRVAs0YFfNTbTbWc
6eWEbK7pIYO50Wi/Yv8kJSSJ7XbnsJJD8pcn1xrn3lUB5/3G70jViZ1wCPSq7e4czvlLEw0htIFK
jOtBZs2OZFT74ko7ezA6Lf4yoOyxUEqyYSNhzpzmYkz3YG6SvSwdqCt2pB2Z26CbUGZZ0Qqyiw1q
VaRXkVOobGNYCs6K5nf7NCuSu4La9YAe6tafKwBinJboZpFYma/c27BA2ox+3XEm93bWWRLCpSUh
qfH14ijwVZc3bLZHxitV/DNNs+iOvit8MGvkwnw6mNNEsG7Yh7T2tYHu5V0VhftM+wGgTZ/FGgV0
sbfJBPfgPBsaJEd2MUS8Ku+2GC3vnLezG+TWrM5Dq9mogGOP4XFqhEcSGZYA7gizspkkW9LDrQMQ
2Ag5s9H3W09L8zvHI9EsIf3OINsjbr8YfyXxtYlb711D7MfGE8mwiXOvctYpYJoz8MdoHU0hajvk
NOdZFMOr2UXpli0Peh5usd3gF9Vyxou4pqcjhAcQd8ny1qqvZ+GCkwIIYX5ZmIFQmHD8orNj0K8v
TplGiu4znAVZOXNpbgfVaMdZzPKrYGa5rYxuuG8jrqGVZwNAsRha4kGKsnczYedJL2VGNxHMTKbt
eZtsG4ewkqh1rYOUuKFXXe3Jk6cM4zQU7Al9TZcQydJkN9kVJ53G1xwSI2LV1oQj0eexu+tnevDO
FQ3PZt88hqps1wXXCd6VCTbIWHV3ymlZn4rQe+hSf7jEg2KSVUzc1xS6JwFkkYV+Ca5YsykGAGFD
1XS9s8+9+vG/pUC/Sj7bqqt+9r+W5P93VuiuvaD9/3GFfvpq3/NfXRa/fclfXBZ4+2BVGej5eHMZ
1Ne/oa88+0/Y2ITgCPm2DXrUy78X5Yb5Jw/HqOfb3JEeIHp6hN+LcvEnRJvAanBZ8L3w7Lj/TlFu
ukt6yV+Lcgpy2FuOAfxJR8NjWe4finMsZprKwLVsaLY3blhxqUC1QTNLZSjPZZpDzdWleXI5Ufd6
QQ4JhXOWr0Xh13T7Wv9sK1unM2Y69OLWdH1rXS+rA6G+RPr5IhMeN3hfbhlnixs97he8juuq5Nw6
TfVpz448deSRt0dJI9muZZXIYRvZIUI78sZcQtE1MLarLqkJSEvxqgRxkUc/kDE4BUMGgSFZWClO
8J5tdgNvdByxImmZ94iQGyQBavbx7Mw6ofRd00r0DLr7DHzCfA6x7j90saZuUAewBh5msLVuqUf4
vYQLTTWLgWNT9uCIN6BedqUq4b5rOnuxwYbCdSTVnnZC0T9wk0yxea+XioTJDIRzjoJmblyIVQZq
YOXoXkkaJsFqN7GHon7jxMTJrFEAMb7uWNmpG3cAaHc2XbvvEFgy6lgDpkeWy9RtJFvJi1p9naRF
Tck6VmdTagmbgWRqzxU0EwfVDgv3tQsngCWdSqd7NbMjZuhvkt3X94RnM8Dq2cgqjh2UIqrOPjPm
ajWFkMyrYOoyfoDNfPtlISHdZHjo9rwy9oMu0gFWNZUI0BL/YmIo7VcJNKhx03V69WhaFmfKnC6x
1y5O6WPdjjpEr6Edsbdk3m3W6O6nPgouZ8mwAKmVHHlqRCSYzKvUzTfS6cznRibyWUSOzYobSbDA
fYNAf217XnNKC4m2Ji5gXKeiYfhe9zSLB3vs42nBOo/oG/gJgdPrQ7GR0rLukO1WeydqktuusPtq
NQBD/zT0mB1VE5vQRqjb1DXr/Zhuz8qDiNbkyy5j9Lfh7KDZCAd/5CkIZ/9gD1o6BY2TmGHANt7g
7xnuW+PR06wKV7eytZp9osLdwq7trWKR7OynUSNEZ5JMFQPp2vMQyAG9e4MqDHaB5eKBh7+TBRTD
FTGCAsXoSq9b+dM15tEO+BYlaCO9piBBhosexRSN3JIXIbjrrDK8LYaRwXk9ZWqbjTywlYp9fAYw
eGs0nSY0ygYb+w+ZgPE9iELT12SVS0gQeVqViLvsWMB4tPri3vcTEXSeZFi4GvLC1MxVZ7fpUz37
1zl+9A2WKAUYnmKjPulm4/N2dPf5hFpur3d6+gRGTt/hyp03XmLP58jv8tMUD+a2Gc2wWSeZ8tQV
LL3euDXapHpqFXucoaMvdQby8HzyqdOj7RflfRQTRp13YDZJj+xmtvq8UxoIuVe6FAnab1ECECZi
JwbxFmpJ/WHhNzibA1tQfL68T46Ej2fTE9MQFKvNNA2AuaxpdLMtdSIdDUGTKSvJIs2Sj1Br4jsl
S/cjw0HKxoc7Nj4oBvDzTZLlxrQ2+MjIre/UrKeViEbcC8gnLHFwWRvON1Ykp/lKIxD0qZ96L0M8
TUDHVo72hPnWiU2Jfpecekuswi4W2iJWY8PGcOO9GmuIMyKlg6X4n0DB6XyS1rUjGZU7Do929Z+d
vxi7iQKpL5059Dujxqryf/be/mXO9v/S+A11KqOwf3y5n9+zLn7/ob6+6l/Gbr993e83PJxKc6mz
PTAD+NKXcuH3G95EI2swcsNdCwZYLJKlP9/wBjc83Et8knSOZJjxa/z1hne/zY+M43DHoY35d274
P0jC3IVn6RmepxuuawoKh8VQ/zdCWKdSYdxaJRo9VRz9gpQmRbMXFe1bz9B7xcQOvxWwgLSVu1BE
i0ZKf0Lzp5+rbnixVPoq6xYh+bwoWAe575v+ktJZw3EBLFVxDQVN3RGr4uQvvaAP0f3shaQTPt/T
kfQ2RhoSFp2qtbWp0pu/eTX+juDtV5Xv94MTFmI33RKk8gj7Dw8u1fO4nydCYcciDYi9wsv3s2zr
C/DG9b/3k2xeSccVaIr5x2bG+uvTGGmt4Q2otoLOYNBEek0K3H/qq8Coo+Cf/yjrj9ZXNHG0UOyF
uK35zx9N2TTPqtDoPILSHT69kJRQsE/P/cQ+p/UN4kirCEDJAPe/cev/zt55LMmNpF32VeYFUAbp
ALahM0RqptrAMpkk4NAO4RBPPwfs/tuKrG6WtdlsxmZ23VVkZWQEwv0T95678XXfrk3h6hXiNgh/
zDAPrJr2roTOjYaiLIsLFLx543nNS2wMp0r473aycTnT0AVXH81YTGtIgMRoluo8uTGNDCrlXeSY
tPdQswHNESyiSbRwTTlskmh6F3p+VUq+OcpnDJKBsv/9e2Atn9yf61J+edK1YG0I4VGg2r+o+SLP
T/TkgKiqgmCfsHOzipHcyaQDmc6avXqpC0GHqJFRsqpeLDsA8z4Jgvz2+xfy4wf9/EJ8C2mhg1Pa
JWppAYn8+fszJcBQi5hVSN5R5VhKMf0w/JcgbheAef6VGI6TmzI+yPNT05ON4E13Okr9PWOqfFWE
9h2xJg+LtgEv6J7xyvucxm/FBMo99+7/5sX+pZoXgqY4QGiz2Lo5XH5+sWUasIvHp7g1zZlt1w8c
5PDoavNBGeLCGPax7aurNBSHGf6yVOYTZleCqF1U5MzWmxnZIbGCPluv9Uy4YSLQ/tZAun//Ov/y
6fo4yOH7sIzlq4SJ4BedKlWZLyTY1o2W+QPZFMRgFgUwp2G8GZaGIGrRmacDDmOBd4wEhjet5oep
aLY95dnvX8zynvz5A/7ltQTLe/qnAxJFkpXnPqj0iEzHsTaJ+7EoLRy8xDbEir/7cT/OpF9/Ht56
ZLp8UuBMfnmgfGexzCF83jgd5S8iaZZnXbMhLZenwn2w4twmRaioNroCXKgKX96KZLqiyXqDzMai
FgD8Nh6g8ZZh+RL1AMtbsoPS9nGWbC6QFedrMhJGJH7yLqSChisXrgxnPjMMcg+gysZVTXwwvivY
nowet0RHnOhgmQFBwdy6rjrnyoh3ETOMVR227aELzGlLFvjMRhqoh93EzrZz5tvffxA/H+a0ojwU
EJCE4K6yfGwOP38Q5CPkIDD5INhibGc33qX19ZgGJDVefv+D7L9+TViEse9iQMQPcpb2+s8fuTdj
8KAWTrZO6uPRzL6VHmhiNyA/aV7iDMM2eU7HAbzJfNX1070z2a9RUCyTteitifDOeu0nkcGr0swO
Tc7+pmsuY5Xvf/863b8+mj+/zl+a84WXFts1qS7RLM6TNewQy+BVTosXYHQmGH2Nx6/WEp0JtNl8
LC/NCC4vqNVLTDwqOs7ZuMbWSG7XqJwDkyZ9adqm2KT2kB3YBUf7WAn3ODPXfsJyWi3oj2td0Wy4
dQ/ZuMOgbdg1NhXikNfC1GxRiFHGNeGCwxomMo+ULLY4ZHqGmtXz2KXvUVJjjamH6W3y+iebidtm
pnL4DnMyZyoeN7uoV/EJeMG8I+X86ffv2V8fIqodxDeUVmwtuUF+/mizLqTccMpwE3sRCv+MQ1Cv
pePvo9re/f5H/RKKuTywP2oO31nmNyjul4Xnn06OMTVV3zpVuNH27Bz7fn7GpuCcatiKTwiyiX9X
GMLL6dLG36H2DusKrjNpzVywQ1c1m3myBB+K19xa4fQ3L+7nZeuP14YPmG8tG12+Tb+WfXmqicLC
kbBJi/w44bT0jNOsvvzNO/BrpbL4uEymUPhbLJ+J1C/vQGNncU+WYcweJkECsEz+PZDakYfZSCbL
UKG/H+K6fs+V9yUdpjuvdfBdgeL23ZKQhbmo2QfIcuu34y0bnuScGx2CBKLz/qag+HevVAQulyKP
BUvaXw6XjpF3Pnoy2gSi4lSRLGnTggaNuU/M/od4PX9nMiQKUNX+/k1axBY/nfd4hmwWs6ByuJWZ
+P78lKDW7eYqrqINepmnaPA5YhjhhhWBFvY9lnS4c+pvfqT1736msHDRMbzknvF++VxC6NRgtT0M
NSra089jwZL1eKyZN25sSWlfwEMjs0kl7nsqxbs92ySaGB8dUop1YlTVdTCW31PWnFblM3V6/P1b
4v7lAA5siumQAtfH88e36Of3ZDSUheKrMzZIYTZsGsgqiXZRytcFqoBAkDLjg+MhglGNti059rN4
a6tm3BEx99qgW14hKLtnEvWd+MtdMZq7WNNAE8V8i1NtTwQtV1WFNK2uvgruWyz38U6zULkiGXw/
1+5wxP5LFAUy52nsiU/2IDAX5mM/ua9WC3hjKnea0Hk3xhWnnSb7m0/IX275n56KwBa0LXAal2gD
jNU/vwOlRFAYWIm/AQ7xaBfeHTuHg19qA7vOmKNUhhPQesmlHuOcoCP+SeWVyCvzdtvF7X3XDPdM
aLgMDBwnMnPJ2mi44H0YMhivfdTHmyJkCWs5zTlul3CZicNbkSPXDMJavDGYnN1hw37kHVl6CWY0
eNAO7BZbXqwYKHWOEht4jE6BQAwmUzPmHZ/Joi3obXXd9HKjeaGWWYB2Gc9jmp6znM08Msx33XUb
w3HiVVoO+64TF8Aie0UPsh1J1Flhz593LlTV7eiobWWY1socLBRrxbiZrIzUGLddO6MwWE9Z6M3q
rwMJZVX+4s+Acbpvv38Y/3LJBgQg0qQTC2Et6plfToZelBEUZlJ8HHutgBz7B10dFJLy6p+l3//L
+iXGGziAeUv/8wzlsZE1MRA/zU/+9df+MUIJbUJ5mRewI1nGJD+oUv8YoYTWH3T3WIwF3xeumD8p
l8jkBbko4LjwVxjzLyjAf45QbPsPpEzL2MWB5xFgVP5vRii4x37+srKiYTGCgsplhuIJYr1//rLW
ZWYYE7S5gxu5WAJ/sECH4FBoinArHF8CgXFQj0kOxC1DvFJ130bbfqYbeyn83LyPFBp5Tw2f3SR9
DHJks3Wj6DeGYRm4iFX5AKGwPfk6RtfDwnszazafMLvvRG1km8HWKLZbFB5xXF/7dcZ4Vk6L3M57
qcJa7QQ1auWa39iO31pTmW3yGI59GabuCtbwpxs715gPAGRVhnpLKsUCVmiANtPEFB4+LD811m+y
zQ/GXJ1Bu0I16BZMciHiW8Av4UbangFPdoo5UFISIZGTEcPgzsfaQEmQlJFPU+G79HBmPj1h4Ho0
ZfY+JM0Lpjby8TQGwYvB0nSLTyLadBWrHkIe+1Vqu/098Jo9Rjj3XAtrvLIzBjlzNFUbPM4GI1VL
diFWrmkcVqlnkcLbh9ftFAuk+o5/xxzFXOMA2iaqzfYTYXjr0lDlxU9Z6hojPmBHEWwl3MY/Jq1d
491RNqUxlHTYO/WR9BHx0YnprRnDhIQGaL31oNnBhDn/q3Tqj16ExiUS2rwKB5wTEkk2iiLPvcxZ
08POqr6lVkcYRaj8m8ZMw90i+lr1qWUjEa0wBPo+AuSEYMghVM1RFaN9T4LsZ11Hcl2BZ7kZmCK8
wK15oQch3TSbIJCEqUksKKgulfXbuiLpYZ6MbJ3p/LsEP3Pwq/At7PJsIzR/fO7yKdkNlo/GvjCP
FdqgNX8KcUsNQxxey6Okl/fJZD4GJlYqViYMA+DVbDAJZ0jisviCJyO/h7NBskyhs/WchaRuAmxY
d7X7xXfSaOvHhnfpU/XM8xp+G82yQ6hXFtezTTlbdEmx1XX7GBnRYzKR7ghgf2XO7VM6u9lGm2hh
WyAnKxC8r3k5mocU0b/l1WzgO590gdQhba+vuidA7YRdiIDyKHycx/S2dAyeWb7va52Q+ddqchNX
oSaSZRzbOLqkjq2afTF3WE4jKeGQTkwBXTGSM+MZBnLlLEfHYeORcZEjFNKqd4JnkFTnVh8JJ5QH
1vZQyZKE4yxs9ywEL72ZRgkRX41z8soqvW9TN9jbNbHDpEQ8WXE7PkAFiI8DLKaD1TET7FwBxCi1
95nUxVPOhmHNR6W3A0DobpWlUNPD3qCCqWrwT5mtzmiz4uM8DQJ7jqZVXVkeaWh9hLqOWJdNXDGT
wAEYXrNZGu/ikbFBjSt9SzwIjsRWHCnQnRuzidoNkPGZ1IBB3g0W+JmpDvobM50L9IJi/gqa5SC7
mX5k8KtDYBK+uqpn6y5iXLRhiIvtKRmrXYeXbo2rzV9rEScb8PaM2EQdyAOJCmTJklED58dgCxvi
i3me2lB86WOWHCqYoud8SeMwTD/dedpM99L1EzLnFKJG35NfQlmrM2moJC4m3mzf57NlXIdFgzA0
zNNnUdrPZtLgphULEjouDzVNAS2o/U3Xlr6Xgxg2LD3J3nG08Fegp2a2uaTJhW39gQJ8+AZYurjx
a2c4km4+HLouIFxliXQz/DzbWcCVAzevr40mOEUGMn9fEAxgYuougbMVk0P4pqFOiE5tvrnSSTfo
2iNcGIl/cvMivR3mqD5HrIRuEiANmBb6cy+k3rNfVM8liXErsNnNdQc8YZ1MDXs/iSKvWKINYNyk
XzT+vB2YiPk+Sua7EVvfxibuc1NNg7yq0/6Oe8i46qtI7RiNxh9NVQB1z41HzC3mdnZYP1d22d1U
Gaq7ICALxCkpoEtbnscAJKuK3erOI3OC6DaEnIysDcb5yHEc8l8204wMjmeXETLRNoyFCHUgWi8o
9iZRhefRYElq4GAkoQehpPYdTmHpfbMswGGhyK01tdNd0YivEpPnOkoRUrkh7NSRHeUWpSn+YFS+
W92jhsRAQHxECd/QrbgVl9dg57j4YjlgL+1C+5nVvbfO6Zy2xKGGF1CPNoJE5ICgepx4+DDiHug7
BWSDVCn47rXppRh6Tl/rEAxLtIsd3GhWK9idMpw9iGUGGoKk3+kgM1aekd77o1VfGLCwxwwJi1DY
ubdA4Z9wzeEoGQhi5E4o18IIX2co3DsV1p/VyAMl2vxRq4w4yHEaNmVuXs8aLVjI6JfbLv3Sdo19
1RtGuG6WTxoAeLRzdGxTenP0MIH4LO35g2D3N40ijjd1xmefk19Em8v4jIh0eWQQcisT1VwC9FEw
vew7aQlyi/DHrqtS25sAGfQKBgl+QvqwQ6uz5pFsF3BNbYzerOuKgzNW76bBKSQKem472orOI4LV
Pgyu98nC3IP5Z5VMP7zPHwXc/+lC9j/qfP6v3ReyLvxtrXt5/0ym9//17+A5//ir/6h3A/sPNoJs
eSDamUg/AgrKf4mCTMtZpsMkqJCRQuP+z42hLf74IR+ia2Y0ykSHF/I/5a71BwMYm1EPwuMfm8b/
ptyFs/prSwQ+QQiE2BS7zGEdbxmy/WmwJS2cV3M2t7sF1+FuzCZO9uA2khv23CwHvc56DlTM4dqg
WT5LZxqsI3gJwpAHiYfRteVNo/AaMtCf3E8mQtziZRfiU6piW5zBTPTJU8xMhKvUqIIn9iWcD7Vt
b0bDMVetmd8rMGZffA/VX5f0+oaYkKcZxQntcTk8kiNZPMZ8Nz57z3eouYr0YKOjOAoyc66auOhv
i2zM2xWdBhwG4jUKksUTY1539kSoKt58xBBdOZ/YmA7muumD6S7sIw2VT4qcdKdG3ZejKOZ7UjKw
HItkLh5qFIJ6k5IB/1BYFZi82R0s5AA4eyijXTvRV3aca8X1FNWfhhH00ClVCVTSIfunOxMSG4aE
/9q+v50wSzd305TVn27jVnIfh2OmnwwrDj8r4rA+ZgvT/MFuQgViw0dgEqeDIXYyDJt8YwgsVzde
4JfDcTY8/b2DPclYC33MW2731mMl7AIXcRTc2e4E5iFNrxLUX4hOjaQ29zBkxQeiZFdfOQL/zEpF
DU1BnggTCfdYsyzWTUVQOYXRGsVJljA+MB9JqJKvPYHon70ymq+j2frXrCcmH2yp6sD5DLG79op6
ODEr7PYlsxOiMuBH7nlXXIs0GuqSHIRsSBJLveQJ4WCIqZzOTm4U2dvMw3EPCxccemeW5pF7mjhF
I8ckN8dhvqqjKaGiJuBqXfeI8Snc4Vw6aFk8N7OJ8ikH/2jUaXwmhOdrX/C0sNHMQE8UxCrNMk4f
oHUQ0wZkY+lTWHwFkVinxmwliIqX07QivamVvfM9zovgGagND7lFlrLzltRUC2id9RpBzIfD/GoV
xto4pKMXbxDGyj3FVkdoYxHKk+iK+0XYOa7KJjmjzPXuln3da9Pk8hIPshVbUuuTver84GtTgHjF
imrkL0imKCIM24NdIWQ8xsxJl5CZ3iwhci9gp2BNPFFaHymkjb0fQCFZTUt8DSxVcq3L8h57srmV
leWybEy7JeItfMxdV782SzSOWWuedyQAXrLWus2CHf6SwDmYUTG/QwHuk+ferBLq1jHBCFcmgi5k
RGo1XJl4Z4CB9DOIqYpstPLKsgPqRmzJyUs7SJL4Civuql0FU3Q80yuyvU2yxXVoBraT7DD6EEmE
3s66IZna8gmEbsSrA5oVE3oQ+0ZEPF3vPsOSU8Y1hQA5SFBjudLxNVjexgXGNa0RKzjebpjGydyk
P9KWYFl5Gd91Oy7Ha1f5cX/hFgWyYKnUhIMc8qfuE6Ks0OD7rMefO56uYGVSE7IkIy6+WssBJBd5
eSHJVTWS/QOwwY5wo9y7CogBUg9ZW03BVhpdmH4bSIE8awz2fLE9Qq2hxVj5U8MLtddulWbf8qEL
GwSVUVOT9wRskGWEDzLSMmd6wDYw0PYBh0VQXsz59yZM1Rqf4hBvMRNl7RVPJiafGnsRw4XGvWu0
LK/L0vM+hTFyuyNOCOWxd73mwwnzBt5lkqkFU4hMUPKvOCRG8qDwc31RLoYAxNOWu8N1ER88s1YM
eAOcm1Tk4JRnCNw283oYXCssq6RWc0D67boHMEzKVZsXG0vWiK0JewIqmI8ZIgRiH4dXjZfjojOv
fK5gY6Lj84bpuh/s7Fg2Tkg4G3PMLedQbOBFCoeDoEW+6FCFt3hG0JcGaRLuUkOMd94IGMhNmIbj
D0lwKXQeEu+sjKurSNkhayiiK68sNclT1w0jHKdGPUJAcZ6LTgw7hgDTiuw7cdXLgdzNgiuyIObF
BO0Qs3JyDHtMKTyNJSMcKffenPrwXFedwZygdTIIsPRIiVvWN1TA/buJyvxNsr55ahNSTQUe1R3c
luie21IGe/Jf2sfKSscPgiLcTzu0hsehKYYd2TUPIccSSARFS7JNdPWQ9u6YkquX1EeSCzl5Ef3G
BzAhzqZoNUp13K1y7bmddtYeqrRkF+QagnObi9cYv7Ta9G3ZnjIxBd9DDMcrAgtcgAXh0jt3xAD5
BZToCnnvcDCxpGxznQebHLvsoSh0BUsmHa49QF3V4oaz0t1k8Qt3pCh9qwGen3sik5O1XULHOE+F
M9ebtpmrLyofctqAseDuKnXtXtVur0+U6JSfFS4dD+19J9/orN073U8Ok4MsvCkbLGn4yIKvXM0N
2ahx+5pqD5/MgJ/jiN8gPhUW4I6VwuVx7zljc19IiHOrDjfXDa+lewMbYT6RriSQIQPturd99HgS
jxkcTuHvWj/9xqQw/4JFNd0OUSG7az698tWczRmBRQfwpum8fWW7cAGq+lPjXLlNYAtdU7mMmCbK
4mWyEDUzWZLJVclYheCgvtlmYaX5vvmjs7FMKe7MelFUFn043Vm9MdcPkHCMo+1WzZtNDHCxjYlR
h5FcqSLYYGbWA17wtvsQSrtvbVDruxEUhnOFEy57qci4im8mt8v5MqZu+VENbfc1cnLGHC15tMax
hYeb8q6mYcqeQvtw65dMXsfL/WMNlCkBBYocgCYdR8ya/xqHmWn4vt40lYTqAdIUPE7UeXduimfc
G1pOZj5cC/dSy5SGVpi8Lv52QTsbs2epgWHvp3novntVyOok0/x/00n6797Q6SugMPV5EIzMPDSW
d1lVEZ/U+hNgaS/X6ZccZsWeELX2JJPI3JsiAvvRgMVYoe+EdYukghRj0XLZTLw57drPiG4l6pB/
uVAOwkOTFm26qydnfldhmbpbNTrTu5yM6GvXjgzM2lbDaYkDVyUYvKYku7Xgrp344JH/2vz1EnEE
KLUVsunyRiGquKcwTTajhGlIcjvxFcjT8pmHFZDD3g7T6i3M+oLvm1MOO9S50kIeDXGvw/32WlYd
sSroqcv3bPJIQI/YjDj4VreaKLWGAs+ITkwvLA/1hJdd+bykLUOjeVqyWKrnLojVV9xXRNg7FWZV
mXgsc0LE9JDWp/HctHX5WIWAplZNU3nXVQDiH1mcbK9KQI/O1nbj6pZTf9o0jR/OB4qdql6xk4y/
gA9ezh3CvNzWJiEAWIMFyIcZRraZsGEWbEsm9RbIlKuGDIH5pimUR5wdVIb3rqu8rZ+kbYVxJMtu
CIBD0OMPhZUxpED3hi8O32XXWAhPW2gpX+K5Cx/xLGYMAvmPXTNrNg9lNZJGzIrXfTFDkiAfMkj/
t8pNnJzpoRN8dtSWHYxAk2645Wa+Lck/PSZ5FRFXWXTBwakco2MYmqChjXnPDqYEf+h1HS2/ZzX+
Hb43wyc1eLAf0BbWm1rE/VMyd5Jweju4Ba9J3ZZ4qr3L7c7TOzMEXUFJYizRbp1mbNToWDxoEcqb
VM+CIo/e/MZzVPaVeadzr2oO6oNwKsCceMPE1tOe8cmJl+64n8UOsHL6zZ/GekMp5H1B/l1ZO+h1
4t7sBwF2I/XlOkwcMO7KZieIACI8JqLyXzMMS7eF2RgfFXSmB3NKGnmy2644lXryv4eBKeszHLUq
Ag/lFZ/Y1bqneRinA8mk+uTXXobr0U9MNnrg/8udIAth2siSU+igVCEOk0qNL4I4Qb3NIUHuzc7r
TgUchrU/SdNcK9AsW2vqm35d2nl+NLNiIHI219PzHODtqJIUaYg/+crHQSHHXWZV9RmFhJ9tjFg2
26GM5Ql0tHllFf3LaHZQc+JKgoee2NGWtnqLKjKyuZqgkCUooCXYPO6u2L2TiMO3HqwbjLoTQcQm
h9fKMZInOyMBym0ILOApRMHeht8r3z20wmmuxjgiIzjo8p2LCG3PUKcCZT1F3yKjbm9cu+L8m4D9
rJqR7hC6356w22Q/UCKgjh+1uI4JW7wdSy+5Umnd7qzJKA9WCypFxX7/dci6+s43JuQ65AyQSwc7
5NHl7tuJYGgPQx7GhP2U7boKk3vJlGfV9rzQaYZvPqA4X/kkiYKpg8JXhw3iyLhvz70dc1MDktwM
cvhK99CxIWfMvuImzoD1D91nplCob9MhB++dksuQKhvkeKlEdxx4QNaskppTo+BkuFWWHkMwgO9z
oD7n2qC2glm2XKd0YzVblSsxNc1xMuwZI1jMCjtJ6GolUqlLKD2yyonnWSsg4yv4DvZOguy/6wpz
CtZqHDFMk096JmEEj4dRq3QTeI15480e8lEjFWenih557O8EKQl67J/w8GF89bETE2w3Y/XM4DhY
Q7ji49TrMIvRkak5TS4JQP1snU59/lQ5Y/JsxiKEgVRgmglL9QXK+Pgu62y8FbNtg70mFOEyzcI/
CHtwr6oI5eLeHFswEeSHzq+Iwm6yum1uMuwTewLSDz1rayrAnumXmTs9ptUmWoOP8V6w6umPem4v
RZKrU5unxUYRID9zxDjxhx1GJnbGccTXyjQb4mRAjokxn3QVtovXo38oEn62EzD6RGjX71Qew8uC
bYGfdS7sa8Sxw2PnU5tjiOmcVY8g5VVFBB50lq23ZQG/FKds+xGUMt7loT+evDAaHqLYy+lzOnMH
0YvbjdnizjEs8RwQq07sfR3HeqMbPZvMIINbVua+2hZawcaqeqvYKoaxAIiyvoShByqbK9xSyRpU
H0S5znDqt66geNokRq+/o1bsfIhpI/ZTyy5LOpMOAUfHbfLZ2AawwgxO/CGdZfk2xg3jiZ4o7giz
eVrHt0Vam0+R1BXld1bcVixP3uzEEDfka1mfbWpUZHIv824iTiysi3Q3OwHqEcHZPMqnTI2DB9sH
gu1DXRPUfhhjFWzrWHT1NsjV/KKT2gP2pfTVCN+RfmF0ylsLQYE4LAOS99gzrK3OZuwSrh6FXjsu
dLt1V3bGg9VO+LcH7a65X+qHJPe7dxu+4MporeJge/KtSavk5LRtV27zxa5tDsxZ6Otya4N/zXtU
/tRhXJod+xKPk4WSoGyA09utPft7ULeOsXOwdMMDHIoyeEqVtM19za3prNooX0rG+DwM9U4ODbwj
BGX9jHeDNdYqJaX3e22O/XUA1OjZHAsfexYBJITgdH76IkvZHJnglDg8UuVIRlpjfjT81Ckeh6ib
H/C/aCCRY9K1pyoZs3EzJxP218EY1hNTiX3n+K+ABYpwiyzPwtSMgoQTSZrM1i1vvtB0Nm9hyY0F
oA6/UBYDYqI1Mx5xWQdnFj0kgIcpC5a+0m985WRzzZEv3JNimn5jRY77NU/74JnJDCgO7iMq6drb
lxlrEY9VMpSXGPimxBF1Bg8Ndz5M8s/UqI2IFU8qscmyS4MSNLNSQClbNB4VHwMDXPk22E1RD+A/
UQQMFwQ27dIWEp+9lTm7WQRidcdWoC37AZVLvEQptBUwCmgemMKkO/J1b9NkguNlFkArWjqxFBTk
FOR77Wtz02Re56/dpu5fnEgtpTKiIO6cNs8fM8aBDLyZWN6UtC/80wLo0joh3FoQYR9m4qi8wn2P
jWWuTgLHuM6GCW+wwRU1+R5xAS6I1+MQ1osbyKqfRWEFLzOEnBG3fWLcVgEg+nULd6ddD047odJl
nbqTed9cUYnnOz3XOCOjqW9p7wAmsz5OO1AHXhLEb66a6n0penGdRyVAJbvEUrzr/N7feDLwvgrm
H6wxyPU4ERxMFrOk5nlJW3zZpL30WOBYnN0WaIoOebFsatLOye9JzVMHaCeKdTp7beTwYUxqh9WI
8myl2LkxFxZ8SQrwiTWb4QpQbWQXmLCRIEZFjRa8ifptX1hs4FlAjpDyovEVh6Y/85sE7VM/+ezq
RT+G/Na+mMGOZR0CLD+cGKDpjCq5J2P8MfCDRG/dLhDUCVnsnESryUjF9pm+2zgemVvI0bB2U2yZ
BmQNt2uOoY9mMi17mi4eT4HUlw2nZ4FLG+MXFFLtvihtwYYe+OIOdES5Z1qbf5aqsIlMnTBW5tkP
C17rN+JG9nH3pEJggWowiZfpp0jwayKsEuvMgADPI9azDxl4VEApRAQ5A3Qjyq7XcfgIeYdufrQ5
fiZhpR/RNGDE7Anvs8+cEzJHJ2jVPKCZV1hXwaiach8HoXYIHSEgGRXb6H9t8Nd9yYVNNENGem2x
ymxGeigGfFINEsHskV7AyEiWaFgEVZDP4ncygP0T6i1mpZgqg2usAnj4fc5PDuw0hphQcP7Pmwxq
gLnxSoz467y0GNiAGF1yIaWur1F5oo4Ip2x8FVGKhNpX/SvfpMY+NyYu87iO2/5cmyzYqJd91E6G
08afkSXTZDfafUqxFyGbWHMtca6MJSG/X1JHow0Oqxn/fd8psR64Jl3WyaSRuAKMhGG3oJ90bU7n
qYQ8tnSRRryum1HF2zknW3prA/S4s+E71vuAyqihZQrbjcK4Qzw1jPrLMAIEWjcdUcHKTJcMGKxu
HKjmkhrDqepo1mojQdUD29Zp8BCuL4jLeZ1PNXM02ZgMkwjV5ByYkzC4bmeQpbh0s4IWTKClidIU
U3OAAEYQixPjSiZymmHRVPGC40UgcmnZlUW7vLC+68wI7hsUi0weU0GClFGxHzfhGZLqnuTg342c
xfy25dgky61Txl1MqxE82RISRQyymQYmJQcqGCxt7GjrXfndxRn5BncE0kYqbXnPFNdlbVp6apMM
vrzP8mA6EJiQ6F0CPuepln19msnkfEoLwrVXZVCnt7nKX2rDibaV9P3sKuUS2UYLAzZWHSyKfozK
dxY6xmcl6+kxhbuD7GEBGq58jt3plHMVNqsxyItresgxOGA6Zpad6fArxVzzYaZB8WU2xwZJSj20
W5q15AjYJQzg8i+/ESQQZ+UIQTRLkrvfLINUS6YWzm5koHBipOMCaPD629acbKRNReWAdPCH+YD5
LL7v1FDfg5rkG5CCENkkdmw/NKrlzO5moIzk21njKVF9vZuZr8S7efB1si6MlkmUVbfsZyO3dyTL
Xy5UvkbaYW4JBDC9ZtiQTbt5tvR8rhez3aEd4WYdmWYGLi5u27rqpuQhUa6AtGFN72Ykt47hguM3
MRYFas6HryxkFJ2Asl+oyUaPuy1NxENGa7LSrNsBSTQifmygZT1Si8bz2gwTtusmqyiDsk2pZ+Gb
1ffQpnJm88IcYB20ZvHNbgmIXuNQz3FzjQz7cTkT+myPLM8LDnoqykYU+/+/n/0BZfsbnBpohEXo
/p+1iDefEj/nn6WI//wr/9zL+gRfsntFTvgPJSKGi3/sZQPrjyX62fUs06VZ/xF38j+LWfsPD1k3
21ffJPQEl+C/FrOW/wc7XAsDaGgBpne8/8rKiS74Zx0iIkgPRpiDoZysNBOB9y97WS1U4FaEJQA0
xNxcFUAuaY8N85L4TULcFkagvraibUjgQ7G18yI6Exmf79C+q1OWphaJhGZBkJsjQ7DTNUEPtk0N
sgoQpjd7u/TwsVgSIGbIubeNGRtaYAMIXee6VS/IQYibt6v8Sjp5ciiytDn0hUZyRrYWY4q4vEHz
43YrFXc63HiOS+lQcAeCx5pcqj7bbZryyg5y9yQx7eEjr92WY8wxLsSqZYpVBQp0XHOj8S1qezIl
OEfDDxkSyW6aA82cl8ojgYzLbDZDq4h6UTyD9LbHLZMSJgYE1kMCa2SjoXqB7d8wTEmf0i5/HWZT
XmQjH6MGmpEXF5ocQ9G8CzEnJ9fGCE7qpHggkj6/mBIR16iNhb0smRVNZXKlJ8OgXzFB2DT5DmXW
vA1567ZWnCZcSU20Ykk33DclnX0WBpegGv83e2ey5DaSZt1X+a33KHM45kVvSHAOxjxqA4vIkBzz
7Jievg8rs6skZbby733XIsssLSUSJOH4hnvPzU9S9Qn+LAiWqnZW2q2Se3rJ9FCadb4he2z+Mi0V
AkoAFYDG0NLxRHOR+EE5sKxjVoFfXHfCYtLc6TpG/pODUDYuaEtaOoM0yzw3Taa508gTvIg9QvTU
Im7dmRSaYMjz4ECfKsmNppC4IVOaks0vZPdeefHYHEZWCidXAf1ZCXzCN8yu6P2Kxh+gzbfA304j
5ji6SXDePPc9W+dQelRw26F2sdZu79n+tpyB63QTCCHApwWlQuQ3CTSFAuQP3iMMB6QZMKvp5HUC
RuGLMWi5jbqx3JW0mpdLGlj3Q/p+qvvO2Ti9P11lXTHc9KaX81XCCZhX9uQDvZIju3ffZJSFwMmS
L9oZ3eeqNlvgnWNr3gWIhW9ciRM0dNqo2qMOyPdFYI/4jzWDsF6AvIHikN51AMx5BsSq4ZE8z3R8
XNKw1blZMcjKL9MG103uY5gIe2z9Yu9Smm6p6AoK/OwiEK+96syipcd58AAZGt/0OGw9Zl7VSDJE
lc3Dte75jE12Fm9UVfrWqdqBeRmQEr8tb/rJvLbm2QwzPS0gMvLL2MfgI4Mgt25ZEZ0DBFOszqF9
cVfPE6OvtsWxTaUF/q9uZbtsNBSOBVHSxHYUqsdXL43eaAvaK9rP8jw2wUToLNv/VUpBuNeAMKCF
TEBVl46AcB650U3agbdiy0OAs07IjtjK0UxgdYnEuyuTHKEjWWo9053cO3eB2b5O0ka3ZrY1JZFH
bX1y6khPh9GnymeUrdxkIxBmzV9swZf0gDRgDDsElJ85lFFG7GbjujXJ0Wg76SN5HJovhsJle4jT
S+2fqgGxdGXZmfgN3HkUXJUV07jQmXn4916VBeygPeL6iN5NrLUwh/kJ9ocZOronYU5OdnGMq6TZ
gVXICIcDx0CPpjmmVxzRItt4js5fkmQadzqgnl1z2D/rJhivTKvvrgmaLJ/y1nHYskiXCYWfT+LT
I1hl14F0O8NqAyQRG9F26NPIBSW2WDeVOc0fZReZb3k75Wuv7Z39xF3ECVsrZgF9/TgmklFELhaH
oKPcbqpPNfTV3WK70dfU6OZ9Ri/02Y4TMyYp+IvNCBIU6RqLTfq5spzuMTFgf4BD6XyFKAb02P3c
Nd6AqIzYuS0WhsU+KFY+YU+FMm4SAgfdfSQvEsZC4xc9l4VXy0NBx1RsHJmMemVmanlkSXlRi8SE
YhGe5yI07iAjuzvplGqgigmy88TyiccLXPzajFlaLRp3m6yjajfTHlALXcDBubrJuyK/an3gKQbJ
kngHbYYJFg+eVTF29RFaN2MUHbjjbp6m4qyydnxiD62YQwcAsBZb1l90y+UAUOaWWHUjWSGhpxvr
pBDUoNHzUP6uIcp76T5T5Viso6SYfxN2gwV7yObgI24MdiN1So4minSQY2hwRBnsaGgxnIhiJmAO
XrA9s9Ku8vvO8zokmuQ/xKeIRBsQ9For5pwc8MmNV4mW/o78oEOKa+gw1tIez7ldjXtUU9wFnVGc
KnBx9OBEvdOUM3pM2TrRY8Q9CkTdb7u8Fe9Nv9zbA1pdNk6RfhBTRgfAKAJtQJ+2HqhJ0MLdSi6Z
+96qWeRhBk/8pdWODta2i6ZlT9c9xBvduAsCaFiWhM5Tl6/FPM5fgQyJJ4cN+0NP/5+F1TD3D64l
glPDPYzgWtr3ZtfYL+T1FicObPvYAdVeOWmrAEPP5yXI7WmtXTKkfCdjd7scZc8Ny/w3Xz6LvCIX
UluXsEq5dO5lu1V0dPF8lWrFeqKdtwB/jXJn57b1jcJp1tva8Iv5zlIifnJiknz524V/ykw8BTsS
J62ndEo57xBo9mzHqwDDE1ur/sbwNKNKY5DBS50Hxd5kOUi+Ewh1a8/gcIgwqkWED7ox9doKXCZI
6y7r+KITG/HQTUeaRL/xhy5nbpuJmzYFwIIqQDNobIe5pIYI2PAg/9BvTVEWN1ouRlihQoXVhm/i
oYNt/O5D+pBrR3ce0CLF0F+IAm1CnMumWUtyTG+46uYYxeR+7t1aoEvIYt197fJYMP1Ro4L4gpbP
21dzj9qk1ZaHmBy7LO2TiDmwXeTPTOv6Yjx7SGgXZJ89a2/lmPWniX8uA5g+VMcubqx6bY/Nb/hc
8n3dAP7W9rCgoJgg76NoQ42+5sm0bGpSCS5hCEK9OfhsrxyRDi9GkjPoEDP62cGsnvyxcSQirESZ
Gw9N0qlou3STFkOqWQuVn8ImzswZo/Z1Kavq0DYZ3/mgXX09ZTXYHNh2PVtvRpeFTplh5C4rti0x
qM1tmiBcA5rfYzfMifdk8NswhUg0LgmGJ9ivgIDJS2Z3wRIU6FiqNgbAyZNh++pJw/r8CowZXnc0
jHm1qXS1mOtkKfnpgWBowqVv64ZTmZnyqulo5jzTcgOEr2mxHrSOngdmMgB44nbXuhflE8N1GLFA
iZY53lGQ7jORud0K21y5tWegJCw7XXT5E5wEy2dvxUDY3qBq4whMiqx7GZMg29iqn9Y89zlPMn6V
R+Vb0b5XeX1VkUD+yG6AXFtmaSFU5onUVjfP110rmg+FegyFTRxbv01FtUahhea/Wt6Aq3wdkqhl
kCIUfCk5EA49M1ljz+I7/1wZswmL8HAyRIoB30MWmwEdt+LVtHkavcRNZRSrZbKcW2uAp7bA60Jv
1BJXu1d9nZv4TLQkWDcos49aOYAz0PnAL7IrJnIumnlWyBiH9i2Pi3XPM+AwEQpwXwXJ+Bz1CLmc
MZfjrkupMo24PA1ol41V0zOb3Rtd4aPuKUt0HcQoj49sv9hbOY1bwUPMig9wGu2rxJLohLhIjK+t
baDVw97F3z357R0nkJBrLawa1UFWdbeiHoMrW5gohYA1B7cQ9tsHGAEAFiOXwTRr1rL54iZeAgm3
TtHLU6DNbz7j5N+08rg7vJ4ly4kbj8IwKePqPXB19wgN2roCbSFvi8nsnnzLZ2Rl1Rodk6Xcmecs
C+r1kBjBjm3jtOfXM2ImjYX+tLFLJPtqSYITFlai/kTlMfsDM+czAZ8tNuFpR1SWvMQW5HlBgoXR
eeoVoI8L+nEk1TjX+WWTUVk93P7SMN+JstFH0x3VeZTFJWPMv5RgA8EVaxJiZUtxYEGdoCbE+hXM
3RXjS9aODWozY7XICLNLXNrFVw6J9D0dR++cY+Ow8K825YbPjN3s4CfwSBFBAJQiYyYKzah67tx0
OHGzkl7PomE91JZ5NAn4YSSW2azT9bjhVAXp74HwJikziGxEPBddkFpm9ZSqPPhUQc2t3YLj+5i0
k161tRPIlZf4GHyGrjU/IMDBnBaEUiRGJpF10DeOSKpAA0ynNgK53CxZugHbld9Y6VLeYlBKJSQV
MsCAhXGw1BWIU+AEa4dD8j3ASoIVTjtfoPAtH1PeYLWr/VldKGLpRy0rTHJTrh6YXGevMirEA+Iv
+j+PZ8g16U7RuEOn07GR8GSfrbmxiNol/ByTTtK2pOYoZzMVY48O0NiPxE+uy/IBMUouYRgvqIHx
Iq4ru7bAtqHFPs2qzAsSZfocWZgV76eF4iIkBmqJ1+wZ4k/XqikWEVNuGscrdojgFoU3rIxPihXS
rWtGMdkWo/GIeCJ/4LzAC2NxGVRGsCeGi/uoH3ngzgz+HuUIUJAvNKL9evNSTtspsNVDUy1P340/
bn83HP+/UrPFS8q++8//uCi5v7chQ60SzBEQzYIMIDHwJ1xC7Tijlxew2eHPWTz7PTBCU+UaJ5jC
2UKaT1T+7h1A0g9L/y9e8U/acvyacBmgWgrIAe6FN/+9tpw5bFNYdb9g+DPTO9jS/bUdXxDdpekd
kyX3duYF8/7ry/zZD3+5TMu6uK3R0EvT+smDLxOzWiIvm3ZjrPIr6pr+FnEyFnyRxo/1gouPJpCg
wnFsfncX/59V4m9GcZbwHb76/3kU95CQg1h8P4r744/8MYrzsfD6GH+d3xMLPJwQf4zi/H8I/AmA
cy5+4Mu//+9BnA+IjX8RWGBdHIdnxb8GcdLDIUESBpQwG4oeyLX/lUPiR5gE6CKbGZwjTX5NNgwZ
5yc/cGTFgD4JWdnbdIJH8lqQ51fJ2YbGf/SmkaUwiILQvsD1CbuanpIxU0fCVmgr8F6GZgBPvZCD
/1sad2YY9bV3j7BgOlRG3Z+B4Md/Qxv48ef/5/f7088fXLvbJ/5s7uGSjnuczDRIUhBwV0ahqAmg
A+mIoqQQ0e+D6P/xZrfsv/uomKh+f7vXrl3UbW3N+0R1uFQBxBBU1PjbhYDMTaqNKqT1MFbaZNaX
SedmuuzL3CYoQlTOap3WTrufl9LBB0BGMwN6jyM+viGVWh9kzafnWtNNbkXqHEHqWSdeRa/QlmLf
gbaviT9Acf+UAUiFGN8YNUCj3B9eSRCcSQ9qxua2igtCH/tCPwyWUEyePGb/+ZRs8loWxyIQ1Zke
LDm3pEG8xXrsQ9Ooq6vEzOVmxiy8ZRCyEeVv8xCLQ16qHdMZolGCeAjVaIone6ymg4cyaJdbOT3B
pJJtijwpbYMOKkMl9SvkT8Gz3Ui3S0UQKaM6sjRjp0LGmj45bnSj5/EOiVPLARWOufFqd2Vw6tG+
HOc0eOkWaexY3nNm2yKcY1depYs6FwXGgZr6KPTnlAJNJztrZIE1+N57X6BgGlimQaNJj/hVKGWG
+YYHuLPFCtxvNACstUFq4rEGqAuxJ2LbAhW9okvaTq2gdKywFUxHosGiULV1yBZwJVn+VWlz5GFH
LLMlmm2a2VNYq4Lo5kUOhML79kaOVH7lNLOVJqhxw4URZJ/gHnJaV3wZVas2rsKGjCiwn/do1e5G
HVhH7hpEe/oUzQGCHV8OWwaijwxpkdoWUw8C0Can0dXAg8d6L2IDjfjEGKSlm0djb7AzquKbQCO1
HCwrvwpie+NkjMQ7340Yk7pi1yNmPdh2DXpWErLQVPQIGIKcdaDB2w+TtTwaUwNJnMalGgbMyMVh
sVoiDdC1osHh18zmydiONb219nmaE446n0YVi/WU9Ahsh+IDG8Zjn/VEUEln1zQ+ORj+I8/KsHM1
PNecz9LBwLdiDIxUsUff0ViEU3oMXEmXZcyi63AMIrbWgYOFBr4yyeU713kuyy5bI4b3Kepg8lu5
TsmLQy4c5WmIEQabj+enO8Td92YpxMnA8rJyx2kMyYAk8aPuKXOqOntghmSEs+ftptF+ALw+hZk/
0e0jA11lOr12/QlyWEy4NHr5ft2jrA7RqO2MEYA+kYIb2wUyLxGIOEVwUohlEUnfJz771maeHvsp
YWZIeGcfXw+NWRPEjZyOQdbUPS95c+M1TMo8oe9JJPKfZJMlW+xwG/y17xkA3jWM4XObyXAuykdm
lxs5BdsmLn4Dcr7pF/BDuWcO60Z28bqz7GuswPHOXPBGpA1KxQBbkXkzeeqYRqU8F24D7TaaZ2+r
IresVpVVdR9UTA6feykeJnQe+MblvdGhHIwSmHRlMEy/DVJNDPzZ3a3Y5QXvcU5FLbisA4h1RHk5
Am6GzqxMo6ZGPzX3iO5iDQGLyey+rbHPyExiZwNoF7ZF5tz5ODiJGSd1IIUrtc8Zih6JS2lDRh9P
DNNhFgTNeJrROz22ARBg3O5EThAxSVVjdrQhWLGIY/TEFTJ2WAWNbu8bHDW3oyaGOqnwk5A4xX+I
gGo94Ekle6wVV2RM3NTzfGylNW8cN3ucy7Q/oiXn+ZDZ6D8WNku1h/1oVuaqlSSZgQRrryVJ7yje
IixP6FVQZAO8TTMY+hDjkoPyUNunRiuIok2SjSeGiMOuc16L0jh60cJ5R0dSLH66L0fyOSXSkj2Q
YVLjzOqbh/sbh0G/c+B+rI0hy/ZdkLxZRmtv7CS6I/KzJIQqMrZTh+4hG5CejEZqHgr6w+ulde6/
K03+omilqPiuTP7nA5RwVumYnmUypPN+KpNNw45NI+vMPVr5uypBjlukBBWh8T79+oXMH8lIf36l
n0oL3PhlzJbC2g9KEw8RBV/NBY1zLlD1l5n74UqGSZNDAkNwOXlr8r7/pla2LlvEf/cEv78FmPRg
o0y4toH3E5zJr0oCxLrF3HNaedAAbGlcnN2sLS7xvORJG2HSmNkDKqB+nyEauQagMK1i1HEnkAnN
ifK6XREA8OqCdrrLwFKHWdxeSFuEylw73kJwASaLMB1ytU+ivtxLMA4bELMcgvj+2kb4e/QV34ia
gAHUX5TrbXHH+zBYSV5g/P8qO/8/v9vvL/enhiS1c5JoMsck1b2L7rt2woWN8ClEnrWsf/1SP3Zb
f3yy3mVLzD9YMv/kqzVHIvJ6WN37RHvfeg/h6ezYXxg9lWHr1K+/frE/kX/5Bul2/v1ql07sOxev
kUQQwqtU7okmvl20Y71YGPwO6ag+zaQlIMTN+lsd5zEpIXLZ9wYyLJmxpvRd1Z+DlLQfvsmw4zbM
3Wbapp3ujzricFOTLsIk4SvMnFGE5GM7oZyr8pZ2iql71jLSmEz+top4yM4yrqZLUdJcyhObOuXX
1/ljQ/nPD5WKn3EQuH6fy/1pKY7M3RUGz5G92yBsztwIlIOFDa0IXOOWjSOzRt3k2d98lX91o/7w
sj/V1LKvONwqojYM27ls9JxPLyOwmTCAbIUoyTiW83Qdod67ZQ5UbbyRsfyvL/wv3wKHEs5yAiZ8
dAk/fsG5MKeuhmWyJ8uwJU5ehonTnRHAMCLvHWOV1y4mYUG9ablfOPWb7a/fwF/8nHEH/vv1f7pz
9Ig32iyVve9z/cXqkum6LyPrWDTQTGZDXf361S6dwk/HElcqcDULfPH8/49XG49sJ/sK24hjdemV
OWYjwk+MDb9+lb846X94lZ+uqbOENeQkGO4LFrSrkQtcdQyF+wLS8v/+lS6XIqTv0K3+6TCoA13C
nRD7JRpRvfnmS+4GB54zf3NFf/kz+f6FfjoH6D90H+WtzdOk9r4mY3+TSs/eBZifUTZo6yFTPdmQ
6lIeI6qlFaih3/z6Yi8xJz99e7YAFcYtKgAV0Lv/+O1F8YQrMomsPaGo9X5hkf/ILs08sIi19jVe
/6oOslANyiNaaKZ8U3Gz9hpcGVgc3w1mv6w3ELteqovylKnixW2t/NZM5HPaoun79du1/vxjY+CM
XMBnKME7Rrjz49lpImwtlpa3pvSpnFE5mrFIdiRUCYAhy3kK3GlTa8FOHVUGju6alQflSMKWJCQg
lbQ2wpHCdigPlKnRJq1M+I/0NJ0BMoAm4ltdj+ogmktqmGWfTA9uQAIsbDXMPqG4BlnJ9VJRW9VR
QybDV6iNRDuMTQHqe7Cvuq77vcT5v0HV3w2q2GhzlPyrYriEfP4R3nlJEf3P/3jq+/f2r5Ae1u9/
8o95FWk+l5tZ8FR3ycj+LueH2VMAcpRgAAmODkHYvyZWlvgHkyq4/GjDpMSrw8/sv5ke1j98QB/8
SaayJmIv+b+ZWP34jPRsAJMO8ZsXtjIrCHDmP/6ccVYELrvkYYcgPXgYdTvfQLSiu7WCpP3A40eU
vcDx93cPSdf+8Ty9vDKSAdNkGMiFo1/76ZV1Rxs7OcOwc20dbZPWcur3Qo6sRpLBtOFf12YWo+Id
9WtepzWESJsWdO172H5Q2ozC3Ym8NiUrNSt/ixrSDFczjf3KNmdFuHlrNfCqakBdWYFibD8y9cfd
q02jX5ljjwmjhqj3YY1gOXrMnTsyNry3wi6m97mSwXMBTRlcuhyGOxwYXg3yyk0wteZZsvLriJDE
wWREU9oo0B3SSkK/KMgbhtgBSnMeF3fdLeUHyp113LMrWCqzCruo+m3IW/OKnXgKVyTzXgKQ0zsO
CFYnBfDtdezYbrVm+xE9GUOepJtFGdVhRsdGSMv81atYfmFV2UZDKg89Bna29PGtH2tvO0wF4GmE
MGvDLJ+TpBhwkU7oL0b5MPgYKJNA3s9FgzcvJeAvh30Bdsyyb8iWD/0J/zhVv2I4pfmDbeNsyQLM
1yRSwgCt23TdTvIddD3yhMA+CYdc6RiAn7LaHSiT7diSk95ECNJAZu5ct+3WnbPk/EfVSGxRN96M
rW6uhGaes0Rti5+g01vmBEVYES6K+keUa606aCBj4m0yZG4hwpp+1zuKiZ7ozK0NsOhgC8+9iACa
jdlqfYxEdxlfxZIo8WlZawcOQhal5OEwXDrGRebuiMiMINjPyY6ni7EZ8GqD+gCnfihLw/6szUHt
tS2M0DNc43pJOZrNqknu5yXvsrBEuRCikSd1m706RlbW6BYIfT8uVGizF6GH8d1Lm2nZ3TuWmgxY
9mLxvbOi9d6Utv0zRkzzA3ZT8YneP/UAQ9WORbT9qO9VlV2JyahyCkSRXKcyaBAlNyclCCFkH1If
IcxULwUDZz7rtGXlJ6CJLJvWGRMkgCRGuishKtddJ0jYbwtEcxepnWOyNa6yMpSFdK7tjrC8NZU3
O46uMHcAsPJilxmx/1BcqAmosinBG7dcJBmkZi8QaLv+WbQWuo+umYc7iVYC6G08K/LmamgYjWi8
t6732eBFkhCsxrOYHjSYVe5nPEQHunRis10C068I4pCHzByjGpWAr/Y2mpLHqm37iI7CJzXS8S8+
A2u2IYeZbs0msKiGZ/AaRFb5gTc+ZO4kL0ofux03vjOq5jiPvfm1aupm51qF+ZwR8aV3fWHa9IZI
brZsd5E0WhiQhVwts2Pc+24/bt2gWU4Z4TrMJRzZWmvcOJg0LQyZj1omUDiShh1XLcxtzf+wdKrE
u9dELjGym5lW5otxA+vz01XZR1fEV+aQ7mph2Fs9S2b3g8z3QxxYN66dkn9ia0B+Geu/2c2ugp49
NdoO7F+ipo1cjH6f1s010NvuFiLJZ5yZII6rFqFDTwMs0FmeSzT9W6m4Im8u6q26UP8Zb/Q77Pv+
SS+T3IC+qD4Wtx22c0Gmn5hTlTBBjcarqMumb0VBF75KRpmcGCjKmB+wz7BsKecBEeXsmB9eOiZH
PI/5KfA8JmDFBGSxM3uIB2xK3a9NBRmBcECkumu/NAruS+O1LxSR2B0wSXroJ7aUQBjKQd8Flima
VZxEftjTXx6BA3+tsSGl666y7S3tfhQGcvbOA6lkDlmaJMjiDdmMhUoOVR8Xt4YwiYZyLI22BvHp
vZfbmfU4GEtL0NSc9YdMNcNvvVHo627UXbYBXFoR9dHPN36LNYDwFTR9qTXhrXFIYOO0UB/+kHYh
MQa4zX3qL5MwmzVbVz4NgKxPfo510OF7XBUT5uh54gesxux6iAAOjyra61wWF1n1sc9j71xLN0az
5nzj6ZRclygmdnnbwGh1+aV0h9TKpjXlGdNgFMUCe1HHgCM05qb9ZL8A1wJ9m7jyXJSBKwndAiZI
i0IMhdWgziDx75NZZS/so7NN7ln+VxGbejcnFnoNepRk5zSDP+xrkHP2ZhgG/7rps+LZ43taD5PJ
XgQn2Sf8dfu2m5roY0YLbD/g9+KY7ZcyhtXRWwL3Ueu2KZMiQZkMYArWRd0uZ5Wgd0q1+KjZNLCo
ZgecSxMrehKEU1u+Gtgvi3U8dZLxLwAkLxwHApB2SXEZBTEj94GKN1ByxkwC0YjM1L72Om+cNrML
ajYf2K3MfnkXWciPSPpuQ3pV4zbv7eh6MsaGv5R4M9/eCmBAoVnaZigbhYdGHQrTA+6BBhHPG08m
px2YoyeKS4jPQD8/G29i3SKR43WMJSnf50OywG6lrJZ78sXhNCm8dKQdA6rNp82iW2fnDwA6I0WA
2xKTGI790j6ljnpWVoANvR/5AUQwAUdl9VjjbAzPhbHE98RuEX2RJlvysDcM/sxtP2t5FaOvCLEG
mxcKR/I5KUTfkR76c96h8UOpSRT0NKE76BoJzDJqd7U31yHf0LihFrTWHSN4NgrLU5Qj/0EQUm8K
lw82Bxh2rvwBBVBXP40Oawx4Ge2+Dxx9KTVYD7ltv6uYCew4gXzG67Xa+FnrkuMtM/xhtrtHvYGy
I0WnbczcvoW0b7ABb8SYI4iQ7TDZOyNDp4vZSO2AbIGsYIvBDZ/YzolyoXtL/MuXGgeOs9Vd0t26
SR0A+e87fwPVcXxj357fe4STngRMy28YbtwDyiAwPUMwvqR17uITmCqS/BxCc9f2pIGZeiL6Jsg9
3LsODnU0+cB4ecxGO2PwnWRVJWYMbTjgyZmpQRxdpoq7SabWO7Lj5moQcropgp6+36jLADCZxhuo
ggJ92ADM/4gyLHlQgemchD+YjwAToq858X0DzDggl6hSk4yDyYwOKUKQI77vUqyhywYbZRnJkVuF
DaVQ+K52FeCIHTIl89nCzb2yHRt+azFPwZpwdPBnWSmGNe26V/EllMVtRu7OIyPsdA8udz6hbFx2
pZiHV9sBAaExRyHhoXy4BnzTbRFKBzgQhcgCciBZKmXpPH/VqUuIVe1n2T38j+E+AP/RrLMExhml
rV6TKuht0yjrnv25EtdRXJbHODLFbpZYlnj4eaNi9eninLQbOywKkZ+cyZgeh7Gw90OZDHd4nHuq
STe6xXjrn3PTN0+IE71XI2eF3aimerXs6MDQg/VTr65bH0qAJPYdbx6YOZffmV1QuceCoJSFhtQl
QBzplgUdwWvbXQW5zFqNESokr6GzWOnuYkDLTUTFq8yJimsSTeJdAD2GfSNBz7KY+3sXg/7Bq3kH
JTDUJ8sdMG9WbW89RtHoYiQ0ZGre8ojg+Ybea5g5wEwXgBLqujzvujCA/rQl9GPZErTWXOvMTtde
HpBsUJvsKuCcJH457+SQutuGoPNPipZ8Y7j1xZuB4ket9DSXu8IZ20PdDN0bN+1yT/oy1aYzlShV
eBHfEMSNE1y/AfisQLBY6raaWnk9dmKY3itLTs3dPCVN/mAg8vLo3Jc0ohOhwYOhB75vhS57ita2
HARPWd3D83b9gdUt0qf7wh7V40Qy+7cFAdWOpZWqNvAY1E63orurZ2m+6SqwH/U0MtGcWxm8aqh4
C/6FpHxQRER/TqObHg3Xtt4bW+I1xcqZ8HXU7nQvKFC/thbEXDVWhBECAGnu55b8EXchC4eCrTM5
1Zy+UbtmwiC7ajtLv7C9F+8ZaRysoYXbPvrklfbEgEJn3BBSLsuN2fncPwX6w8GaU3PtOwpcCFhk
sAWJNme4tiY/wlArI0qp27uWWRoGW5y73L32nPrgb3kenkBqBcSlWk19rVovjsPRwMHPyt4zud89
qMvVUKtDU2nrLSclYleaQf1cowN4l7RE68aum/vWAUZisHkH/hjWne+f+pksA8gdBLcGrnhH5j1+
UZDRDy5oued0GYxXs64cf+MGs/3mJvN0HPpx3g6BX90Q6+LeKVCdYM/VFO3tNN9g484OVNTxFUaI
cd9gbd5rPsJ3uAEDOnbDvbXjut0WBkqmvvJuEvBox95FW6cHnd6XtmGfg97SGEqDXpjrpmZtN/kN
MgwvnyPSvAGA2Y4XnRX0EK3iT4NZ0p2uRYRptGkLTmtgBqvOHYJv+oJyi/HabMkEw+w0yvi59QP9
Qqwq7gGj7F/SXKkQMIh1LnVWHRO0y/Cc7G/KZivNqC+4byhnb3NgFFRXSf0V/h4EADVKmPOZ+7gM
QX9clBAbc+lH4FywzTsji6+7yElvK4Zkm7nFyLkpzLq/miJCJVpD1QdXFTF0sM4NrTqBZASKrL5F
PJh/NLO07xAb99t5CS5AvKq9GZwxO1ReA35wSlij+3KmPEC1vZkqLKjtOMttpvvlnXireWVOWsC4
sKiB+hTLZlzJ8zAwxSDwNHhNvCb68k+wsaOo03isDvezquYvCbXYddkDgluYHJ+1l7HFosqD5JML
e7uAOTha7P/PERrgp6HjvPfqSn9JEiy/ESCi9xn6mLMiEnRamSj2z75Hs8bMjrsr4akSxkPio97k
meKPzgAihR6LwK/tUsfpuURo8Zz7TnfEMpM+Qz6lQY3dgk4Q/aVPkmsIncS89QIhj5E3gLsedP44
zbUEuVKU3+xxwj2UiFI++tST16LgmYchKLI+fZXRYeGYa09CwY5fLRGeAYMfmrmBM4Yku+8z/aIR
dwCMM+z6pZ9qglz9YDIfMgBrj16LLyxF7jutPOTcJZLDpnztujx6H3txmbwqzpcTxAX3duH0e15a
FpJXuEwW7B3wyVvUHn70rvqR/gq5ifUxuCX+LFksUJ+86n0aWZAgZPVeKpchjQPG4EpRqSWrkbOD
NwTMJSv9fJtAIrgPDE5v022dPZ9kd9OSvQ5wf+jfdQGMzhwaVkvSjzZASfM9Y2wswAiurjrM28QZ
JPVr67H6UFlh3DsEk6xT5E0A3oDZNwO71KoqPyuoPNN1wKbd2cPOGFcONscZ8pwyn3EdVTG7rCn5
NghsbkFLBtqcEiRLPDCKjlVVzvNLRg8Zqihx9hgF8Apz8YqawIaFSuPf2cWWKqC9msUQv8kgMR+9
tOQHlKBHYPzTVfdz5XcTgyBVPttF863LElgqIEzK9wXZ7LeKGvQA841jKDIWFPpNFTqDYezcKfnI
FIMtk6h77c3vmJbnEAGLgJ/YW+sxTgE5DcEzh0x1nNvuQUSj3Ck8XieVInsNVIXsCo8ZNNnqKtN1
RJXu3/8Xe2e25DhyNtlXmReADAgsAdxyJzOZzH2pG1guVdiXQGB/+jnInplfXeq/22au50IySWUt
FkEAEeGf+/E20c4ltMPi2owYuK5sCJIESMLs6LYlxdpO6R2TceJ2gJvhnuai6SrsL/ayTBW7rGoV
xi0mbgtvB57LfAXc0T8n0RTDtghAWSyEnpjb56P+xvZkZVXwz8Py8WLTPfecoHZebrf36SRvsR5Y
e9bm4T4LDeAg1BLSEG64eKmMgF5ARKmLCzxo0YTeYNABFII+y+AxM8r0ws5ucW7zviIe65P+GCjU
ibDbOBF8Sw6eJONnB/1tbjc2+bZnkxpAbxUMjXfH1iAHQRNn4UWkyUKkkdTgYVRdp7kNdl2DTfPD
iecyJ8Xa5lYR7tq5XbAdXdVcOc3CfHc6Eb6oBcykmxoW4oJtIhwEq9SLMZ1op3fv7KRTZ0iS+bpS
KryNceqezW8SVBhU8qqj3RVwGpwokUz6qm7N+iqBbXfvWXm9Kxl9RhsBi+8VQlN7QVzTgLhszZbG
X4BUqjemgVhVDQDTmT6DWc2bdkFYgdo1v4w5yo59OIdEhbBneLITDssRuAdv9rNdlFKa1LjmTHMC
6lss5IL3Swv/PC5ordkYTW49xVgkNvC0eLTNvY/9Aix06/TJcxVvwbHSxGVs2oNqxCtMCwvbizOB
eKbTkAS+afbsuUCC2aDBuoURFsFf47gHlAWS0ZPf9nB3FqaYNRXgxYBZjdt0zMc7GYp8rSbfOLYL
kcxY2GQAwNQPOtHBDyzkMl0wfp4DfeC4vid4pC69WbW7JiNgSMc2Cyn/1T22jl9cw2Madhj0arkp
v0lp0wJNc+yYZxyrFyQmCg72XaYai4VH9DdWHuhnssPWM+P7aJN3UxqTd2sApPReiuMlB9+5cpgM
PZJmLUyAEnqcAHMsdDcjR8u7guYlkGTrSnDfIn5AIc0i4wVjjD75MCfQntlEQ+mjdemeDAtIOWzz
yUMsZzgZeWAg9s60pw6bVCUddV3FvJ87QHWZmL17/5teJ8vcIOMKyyLfud/gu1RRE05u2BPdumMA
dk/ajy3yECQCBqwf1C+dY6cf/TdVL/AH0zmOuoHvOCP1P1LvXb4qG3u9kZbqMoJkiMgsKX3Xf+P5
BNSa23pAiAMeQkgqa99ci2xA6AMAols3+GFUsIBr8qwravnsk/ZF8ZxqMpJwLka1I4OGsbK0oFxP
7ZGrMG+1WY83XrI4MxdY5UPb9jA5wml+RL50T74S8tamNbfZpINfX0fdbGjcnjAJUQ1w70XkVGAB
NowOjJHykY0hB4LroETmNT7G8TXxPRYIJNTp3BaO3HbxXVLLrttEpRc8Zm1YXkfkuwEYN9lGLLRE
QkfTeNAsM4CLAE18+N+ARVpPOo2BviBAjeqMqau2bZpxaBSnQ0dOAFYIOAmXbk+fmh7bhjzIMiJu
cydo76Aczi8I58Od4XUlZHGwj0np6H2ra/vJzrLxgnPe2SY+KdVdlYCK1LmbXjRRE87lA+idts7i
t2T08itSWP1tYwgYsgV8awhQPshkfoIllhL7lnszJeyy1q00+tdpbuEYe2yud7E7pnszTsbLGDRO
s5JOFpSw2LzgriJsbKyjWizgGKLR68SxrIcoROhldglqOU0knV4LbZM4J+BNt9Tu2gtiDlIjWN6b
prL0PclK814MdnmZDBd85xQm6m0e/eTG+0Z79sr3zibJSGScUqflIWmV9eTFgbhKFHnDdaES4v+6
Q/+EtVLIU7pAQ5MMgnX9TRIdYjZsq95UA6SDmfYKb7I5xs1Nn79wt2HcLPOElQDVc7yQrg8/BwNz
Zix4iAgN5S9S2uJoW+18NkVJa9CCOI0UsFPe7SxAOjC/NGiDeBNUrHy4PSEzLpjU0QOYOkapunaG
tscaCk5Vd06yJ23Fu5PwEPZl1Y7jTy8lMNbk3YYzRJ6uWw8TVOnM4FZ5b296WeUPzti7J0OUNh1O
U/dVpksOcPYmZ1/nZnlIHTmyRyMY927VpoZFSuHEPUck1O+61E8ZGew7n93ZJ0kV+UDAiH9reA/p
qFevUcsYuvmGzvqJ1MapzYAWdlzDh3Jh07ICFf4qlUPwaMyWTRy+aESyrXR82xVS31c4ppge8G6h
n6JznKvAbNvbwpb5VQ0x8JHgEY4CkH+33liiJphT0f3AsEidrmn14ux3Wu9CyalkRYo3v89iMt7r
OEhF/RCG1Xw3wj7Yx2xurs0Fx8twqzxieInvNX1wIKhGkls9yfIGIi+YY+on5xiCQdFP3ol/LLrw
dBsfFDQDxrKq1zjss62VVOM7R2b/pluwwNNYfIFz3RRZF9EOQFGTSIPp7LUT0PDBHvZNJas1mOqH
KSEjnHm0law8pMtjq003XdkDLvFUmN6jPfC94IPw8EyQip2c53rVGBooNMdXJjQQhI9GUoTHlm37
DxlX3m1omtjwHXts7h029JwEcheOo0/YdIXluj4lPfF/CJhQlKNsbK6Zrn5W+F7p7YGTcIkjIc+D
Vzl3I3LGj/Iby5xZIYjmqGN8E3fcTQMBQ96q4RIPItBuoilkTSd+1WUInFbjM8VGWWkjWSO7N7AI
3GEq1i5bhKvOkOWLDUGPTWfAliVesBaWGCjaZtqCvdmqn5mntseC60v3VlsdxrjxN1jf7K0/mX61
p1nCYTWNiHMnLbRqzw71mdlht80XoHW/oK0HI8vRgi3/zYR+2qxgShJqzcw+WKxmbGRlytzKnjtO
MMKKhystNFLOQtD2meYg99bue+2SaCab2xpHHFfckWgkycpFxzi3sHzEOpCqhkGq4we3ZOZjL9Du
BJTtVzVM40fCtvVRjR2UXy8bl/c/DRXXHjCuajUvNHCVLcFJ3grRMxIpW5O54Iy36lNexn3nS+Yw
sCJZaLI2PoOjNT/ybwj5UGNuZPjCwjUtgPJwod3xpTAWsgaP65h42XFy24iVa8GdN9qle6GOREnB
ZZhPL8rPBHMbSOlC1Kz5pVqoTyTDwnUVCoMiNZnM5y7BucwWFdObDDx9ikZd2NTMTPIzMFNwXp7J
xI+ca8VqJb5x7lYwuTd4xwjpIrThRk+/4e9U4yxcMa+z1XUwjnxMtmDjQ13RpQauyHrK+4Y5iigz
apLkCLo7NIwjInsBxo7gPv/DwEO3CrtEPDGztfPVwEBUkm933S+1kOxrJqh4aHEjz9+g+xCsuj62
JkG+jRTz+IreLLZNllJ7tJyuCh/gDZH8EWAq80Eaycwl3pibON168ZU51bKI5cHOCCFVrKnp68Od
i4tgHSAOX82FaZ1wv483k8nE27YWkbyIK7AAjdj6vmfxZPVia6TDHYjnWzvWA6dr/dqBYz1NYZkf
faM0ti1U8s0wqf6nVbvpuWM7cSOWtzNpQX8jpVleG30tCC/zn+bUxetjddp8NYl83+gozs7ADsS2
ak361dTY62Rtu+1r3NUzhP++vAYi5TNGx/9FBLs45pY0P/O6l9uo9ptretHiS0glYLOukyHZdPkw
f+qIJCLZf3mECDkc2K8jE1dd5P5h9Pv/3qB/8gbhXMHQ8t97g15+6vZ/rH6W0Xv+pyTbH//cH86g
wPyXicUIepSUloPVB7fR/0qyuf/yRWDjigksfGYYhP6PM4jAGi4MaQamJEnLm4U/+t/OIOtfLuY0
km6mxJQunf8rZ9CfPZzSoTzTDgSRTOJskjjmb65K6RgQBhnP75u4y3YQ+IIVDO0EJiUY4Lacjv92
eW7/sGv+e97UWmyx/+Xi/P48NoXCkZIrQpDuNyd9KsaQos0AbTTT0T4SWbrojequtwgLjxOaVxHO
zMGQzU1y0FPP+CUlpIzaRAku7xKbnU3o9/9gxvz2H/7+9xI+YT5yfYJ46m8+peWE61Bj4e9R13+0
JX8P3No+xFv3IFrnFAQzcSwERyIg+biJp7PbdObp7y/On02Hf1wbMK6YyOg6tTEm/NmlxbHUC0fo
rPsadX7PpCc8+exZHv/+U/7iF3ccPKdUdBKhs4Plz//NFi65yLzsU39vV+SHsuGF1mz4JQAAVmog
YPb3n/YX38m10Vj4xV2B5f23+6sRjWWOqR/sg1J6O4DFpEK6WvzDp/zuMuMuDngilrZzPG6++O2u
EmFmqcEN5R7sGV8jQ/Qo8+6+L5LPv/86f3HxKBD3yBvxfbD6/fZBrjFzRZfbN0xQgAoj/YU9hykd
gGM7zW7+Hz6MWiYSrQ6GZ/O3Dxs7p6qkduQeGhI2Bh/mTtyzfBUzhq0x9Q5//3FLYe7vzybGRRxX
Dm8E3lO//VaJ5TszkB+5V4ZDCXtfBdeDDM373Iq9Y0XLzKZGMN3F7DQOMPMpiIIl94FaVxI7Yp6E
/Nvs7bLoNzY2fIs4FI5Cz/ZzHLHst1tRF/XGj0u8T11asv4VrO2rpp5jyNcDPUHEwpmSQGWj3CL1
7hrgLnd//x3/6jlfKGDkQxFt//N+HKCh0caZyH1UxuKYuoZ/nHrXXMvefTIo/a7TUB/LJvol7bhm
Jc7EI61W/j9c6r+6XwPe3HABpekyQ/7zM9ikIHjcMA/2ed4hrzi4S0wvWIGw8/7BgvmfnxTgu+a8
Ct6CsNTvvyn99npgHOHvJaCk9dj56GpV8UPHTDP/4dJSRvkfNxCTCZNSO4Yktvzjz//t1aIKyzak
0HLvsDOjEtJIqPkQ4y1npPHeo/YHi0f7yGmmIPrbMu5ofVOt2bzWZLiqcTjQ5JnvSR4uU6HO9R46
DkHvLorAgdFDS5eP6qYHcrPONRpQdZURDoW0AEN7VVtdOu5y6tYZuVp4QgvZHc1g8g+g6zzUewbA
htJq0zRKbG23ob9TdSasFDeq3HA/tHRTRYUVnrs4dS+la41YmWKKuqJ+FJzI/eQClTp9x1ZQHB1c
Dlszp6VjCghaVL2iTFi18jUBwnUZBF981niKjJDxtxs0HnqeCM9WOm0CTgrbPKwLZP2E1AZVclhF
uvrREU39Krqyfvcj01/hfy9hUUyKs3cFjxUYEJydoMwPidmmD4ZZq4tvFj5DO2bnGzI3jA3HwVav
NQWmZxxS4TPFN8m+h+f36Q3L3jw07bfMSF/KHEw0NBvgbWnbXOygsW9kEW/Qcg+2YxSHsrdsJnZQ
/u7x9laUOcSef2U6tr7MPfpR1Cpvr1WT7fk6cHR6TkNhDvZPz8CvTn2VjKgDTOquAxRs3Hb0rnQ4
QsJOot+rZJ+rof/JlolrghJ0HceceKq8s7A4hZQOuTbxblU5+sXCbfbsOvDUN4Vba4YvjRk8s22b
2mVa0+LpKpxj1+HHGBRuzMZznWvVe8W2UmZIYjjCxUuvO0s/8wJk+lUKvqvbZP3SaRsFDVxpfm+h
ey4fwEf3HebMQDdAgG/E7K1k69Su+xbXYrqCMOC84UA0OaabWXyBe2uSliIqAMilMzWellCPvDmd
qWGUTZfRMyMHiCHEjUv0KDP9VG7Kd5Chyx0f4FV7yNFeMQnGQ72N2eKcCggo2LjkLyphphTucoK4
bLZ0dO99URM6TEkUX4usUCfYRV61IdFPGasXIeox5N2LmQ3OivdB8eHZLk17tCwam8Bp1LEJCkle
NOsOfWiOZ28mmblKnSjYV4yZmjWNIcXGL8MbiIRUhdkV2E7EG/6+8YB1ANEQa/SasroY0JmRzNdi
aHZdb6kTPqEGzElZPNCsg0yQTLsRs9ajMINxy0gZCBp/t8NgVNEuUJT/+K5Z8PuOxSbyRu6PnMFe
sIrzDo5dxfAN7Upe2ZP6iRNFbZOuSdifKvUjCAOGCH1kq6NhYS72DCAy8EVJFlszYyED/+yGsBdX
HwcPKlOJY4einmNcNshZjhvhFU2Kdxot4QaX1nDwaUn8yuzZDSH+DsNdn5rYtPiJH0Jp07KVGPl2
INu/N0ZWYbaizWfP4PJOBDD7gsEo9o3umNiJyNr5po2zUAQQkdkgjrPlXIViSLejBH3aQOBZ9fUp
gvbOENVXLenXgYOCjkhop+ETxiNE2saKLkY2iSt8s8E7wrT9JGa33TLEt10qf0BpLXi/A72iFdn4
NtmOLro20JzolGRWv/FqNsdIzHBn6v7V9xtmCZWJvu8y2SSQ3B0ayOfnFpBot66dYaamN3FWER5B
UNEGYqQD2Is0PRtv251vtK3ibZ/K+UEoqc/1nCUfY8Ib18SWs2aZTwixU/Wh+2o4pmgSrzU606rL
5uDJUw6G/mYyNuUksRwG6WvnBWC4dTGugzLU6wghLC/usULlCEmFdySrjNMY3mM0ExrIOxj5le0N
P+FtgPTKahRKnjXDemU6bZ+dXJ+HMMadAyFvPQ7mtBbOZF2DEQPJBOkq3zU5BTduXg27iuwhhnC6
5FPcxysEr/4ek12Z7Bqgiqu8RSNJS+PX6GmgPNJ9ZJM07zvFyJ2xw/Pg4bWyyCFuB6o5z07Z3tVJ
c22nKPUSJsR65g0Ot6t8tyosb3i3R5uOoCSKKDxzqP7WUm+goTvbUQwIEd1g36ihC+9Lyhe3Mozw
jfnO2anwAgRkT1ej7Y3UPHQU7wSU2MjJqtbeNN8yWfN36YABeuVh+XktJTMx6IvTDt9DZmOIZCC9
dkpjYFs1lfUT+7LxTpQJzQFIcHsgopRa8rK5QbSvV5Yyggc45O5bEww9cfMxb7gaXuGNvM4VflWQ
A5Xc4DsNTeCoTdZvvYorstLBLG9zt/SwrPPyeunjRn8Igwk/BvGg6aBRYrHdeSVVXa2ef004r1cR
fNvVILt35srVkf+7edX6o96lTuOsCdGojZ7ye979G5OXzw0PodrPKV5RYQfZG9QSdcInjXjfETW3
SERtsjyKd0mCi5HuOR7jgXqdORwvGIqfe3JTmygwnux8IO3CIn/r4bvYaewRGfNdC0Nl6NFumWY6
X8/SUQ/CMx9kotWhqsnCBXgcD61mADtOmlSg6rojTXUxb/muxJXuclP0SjBZr3JvzyvF2IaNNnFd
4T6d2kLcdnWebEozLt8qH9ixctxtiDv4CkIU/aQ6qH6xICEkI4MfiAP2TxGQaVqbR3f42VBf5qwq
E+Bq2lB8Ps+ByZ7RnXbQMKlxz6viSJvor0qI6jQOofVgWwFIEnO6hYCcnabZdcEG2AD1LcvonwnS
R7/cOWu2Mb/NRaHTHqWrwp1RBs397ObRThfhF62z3Y1VGhTcJDgVPYo/qElMu+ww9uZInSwO5C5U
KVYu807NUEm1HYvd7Pfjbg5dsMSRE5Wn1OVO8Edh7iy7oxpMpPOuGpPsypkSRkYwV5JhzSx5wBdG
ZEaMIr+CyZC1u7LligRemu/DkrpyB3GePiTvKnO616kZq/NYjTcjbShf1M1216q2601k5SNTWnHT
QXDYBqHW7zaoSmycFNEU7rTPKuOZcA0+/Q6I8RajbXmqwiLdxvVIHqbziqdRj+0NSQS0axbBw1iD
7ZmK5smpY58yVF9sVNA3X6ocZlZuNgXIqRXA/C4aNrXg3ZxVXnQDKi66A6lWrplcegtw2chWtplX
G4SM/haZ/KWeyhakTXcdCyoqi2mgn4v3Ng6CmlabkVY/BmKQ5+c97iuspoxmNXOcs5gZGogkSe7Y
2LsNUZGl150QzKq0fYGtvXymwCfZ1bKkYcf8LL3k0A1We2Q+zSyPSRxuAolhGGsIa99IdjdxcX4b
JV4QrP2VK3eTN03EpmrDPwUVySNhJ3gQqEQfyQSoLsOoPbgbSL/1nq18tvUjHNRenIZ7EACkdPj8
VVO4n61yw1dZQFisTZ7mYfLwDJIzr9XT1Gp/pXt8cUb37Keiv40B0nBp34LWYI2OjU8/qZ6FnZ3L
xHuIaIpgwmhdmNL/jLKfzeD3e8yN3cpMosfWo5OpUDW+A3mduNaZuqxunctOX9OOet1wB+FRDaAJ
DjYjlFGmuwibP6sUhtO639ueKl5m+wspLt/5QllrC5r2OofbsercyeAH1MljV0HubHX51ND24KmU
f6n3rA5/jJV7HYNpcwSFbBCWGRDmDWPdIn6KRXBwC8p//PStFOrI8DZfu7q8sb2Mv7sgmeHVPXM3
ZuerdqmpEAbQFsdFv4iVILg0qN3g5fcpT9XSJvaB7HD0hmljUGBFTzCuLtX3G5XG4QHMW38pg8i9
TLXUP1vg34hm7hHrTHGiLczb9eEw74sh/MDNz8Gc4/5jS4Efb+MQR2pEId5nPFv1rtDOOgoLd9cE
Zn6aMjKvIoTiwFbKU3gisLbEud+RDynpFKOjltav8iwcJhq6HNmr1GHA4X7AZR5xRKAbOONUb7CH
4QunglDOKDpCQfRiEJjj9+bcCnzTkA+QBy6OPdCvJ5offTHvdMs+v6SxD9w7Vjc35J1fR2zo7eAe
tu/ZTsOXdipvCsw/MIX43SMDEFEq8+YYx3PNol8+mS1s26YnijWm9Wtq9dWGhAGVDtWHNJwXLzfb
9dywZk+15kdrsuda2N0tVXvF84gYCqXBzYGTRNbBmUW1JW04rWql0/ek76gTd2JyjAgiJ1kuEyyp
jI0qBva2svlBuWi/dzyPb2piAaZn9+JSZbvCAoW/F0bPLznF9oXJJLs7z853E86QncG0YzNl5rnk
zLJLOf+cBtrgho7QoCua26blgOHWvnqNa4P6pjjs9kgsD6qLKiJxxGr66IboWnvRysBCybtj6wSh
d64CQbAxHTk3J5jqb2bKk6Hlj9nOxCbJ7r95AdcMWJxg9E7AMdhGYYsLcvDGR2HQtC1L0plDg/8g
Yjr6OfKlTrKR+cYb+UmF1dUHQUfZnvXWvKlVTMCGeBpMgAOk7HQLYUeczUnl24gB/jkD5fasrcp7
9kf3ZzhagtRG2e/j3DZfiLi1B4pujIe67puPgXv7lsIe70xEBi6TbRt7EtX9fqRQaz1gx7lxIZxv
HWScDQZiuTIV8CesnUQO2fdp+WQuockuau2dSfENNFE0vnVuazztXVx3R+jVtF2b+duk2CriX80+
wygut4myJvqV2Aq1i90pwDyGVp2yV0pN0gyqdJnfed6pbtrprZsZmeIh2+Y8vjt81d0xdFJ7O6QY
dRp6KG8TpsfsFjNgcRJMGNmruxghat0X/OJAUIIDNT3WbkRLyVbp0MEB09DlxqY5piaNIcEw7gIe
dM5S2D0Jp/SYwCHjwJ4qzgGwLLax1K+6mTXgf4A7Wc99g49OePsib90rPmfadoA197Mr+gMpW/8E
q5jm865i1pqwm+cA9jBoYdO8h6nbG9uvMbCHV3jhTJrn/KzGOHzJk/mL43hzHwyKZveoMbCEGB1N
jFnTXwFGfqKQ5oWP1aeyAW3gdbS6xmyHNSDpdRMiuQkyF7QTqCa+EaaBNlTiO98WnYkWVBgWqmPi
rSM69OgfreqdG1dhtOPQ57x0EfNqbsH6pU9ZpiHr0uhWdoRTyYmBXE298g6tonyqjSEAthXX7ylN
afe0rpq3Qil7G08cDbG6Jc1tJoIPlRfBPXrckr4nA1Q49cLsnTFnBJJBfN1J4HD0Gi84+q0XjFjn
Rjw8tQo90hFVsTfwzq4xnVPbK63kNMW4alYuJoKVbxGOTcv5x6Ad8xDN0fQaV3Du8jRtUDi8Dyap
KZuDADS5DfWd8W29QO2qddZPyTXjyXTtB3Z65Pa7CxyvhsNURoriPTu+jvqS+HBV0Tfa98C+DTyp
81U+dhTnOJ3d302p6Xz16aDEycBKsu8HwmZr25vlK0FqiPjOIEd3Syda8otEQyPXdj2l9TVtz9Pj
XBAWBE1LM8DWN0b625ysyV8Hz+22eAs56c3t/AixCFtKn7M6TpmzYWrykHod78ygoXo1VPEOn/+4
8ccxgpXn6XWma/cpzCA5tP2NX1jNKZcwzypwv9yGMMfPZUMLHnkLCvAcOWu8cQy/KYTKq2c+qHkq
8rJ6zZZ3p1UVN7Czs11a1vLajQNrR8yKSrrUb8u3uqrtU+sWYjs7RBs3TqXCg+WG/dOgpvkhC3v1
mGS2czZh/QGRAiJnlsYEwCRFZddUPh2sOhgpYZRJt1FzCH69nSzeiUs+aEWk14fFHJDCjuRgbAEQ
KmflxEYKFJrEu5IRWvqkgPBnGYsBwY+OqjlP6ZyB9VC/Y1iHA8dvkj1K3j83XeF3P5vShfBMA3G5
77jU/jXrd5ztaO69D13N2yu79/yg2Ad9TB86+uWqDkzAwtQvORGWFpScfq3D3lsRcLhBcCcVTsuW
7kNevMwRdnhomfxn5GplT7AuSet15zlrLIXEJ8fMrVd9oLKzi5dplSn9LBVFYZs4A26ni9p79zhK
HYIea0XT4JMcAux7cm67e46UIc9/ke4LIsvbUdX8rdr4dZhY/YTbjVvDysw90sfXrInwlSPF0tU8
wBmjQWZocd2UEz5RPzRv9cIao4AK5FpnwB9L8ImWLRUplEEriN0J0aGy22LPPIUO6eo1dwtASFRh
YNhhd5Y6FR9jBXZkU6S0Z7IHn6iAbExK0EKzbq/o1uz2Ui4k/Kgx/S/MD8GehG/9gvxR35W+bu+j
wW9fwe+kF64852Kku53VN/LCXm5Ygs/+ruDp25i9+NnGUXMIZmukZDWaKYQJ8vADDZYdPnp5fVXa
EWFoh3eeueppHpA7kmTUwZF0BjSQwcBvf0F7s8Yt2djZ3ADnY+xYuCCtV9qugyfW0s5dUbmMmuVO
HcfgrKLO5tgGU03KtzAZqfr0/82VLM4tdMOnzOvDrRX76lpH3rAJqShFRUqMH1Ndr0dscNscLiJv
/kHfu0Pt7METmBdkEcn/tQ6QLzSKniuxau0C9rIB3gUl8kud8ZqOBUBAZpbrsik3WFf6S5jnG0oR
NY7+lDrcMlzXTf2rm5unsh2DJ4CMJctuRDoe35cuNtKaIcKNL7OmZsdpQUeToNgYOiMRXoPMq6Yk
OUUVmhADnWOUJ8azHoxkEyRol8juRLviOTnV9AEU8PkBDXDqUpGbHnwz4DDbOwbCS9zYR3awFFck
TUGTmNmyKkIo8ynac6sBf2Pj06nikDPGOG1gnVoxVTFuKm1P1c6EXw6/WgbxA4ZV94pNX3UUqVdt
sdvXD14/FdVKtp6lV3VBhegawcOj57kT7a22CbbyArO9RzOq1aHJIg6RDacV4MOh05wIOZkQLcyJ
QmZfg2iMkDXNQXqvfK95hxcNVILq3Ip23h47FCeWHO9YRKDGmpX9NQnFppfgSrDB/AgnA2WxfvKn
5WWJBRAJOYMq/svxMixmAzHFfcoMgeUNveQFh5R8pRtNXjORWupsLHnP4FMePWHbT6YLAmDjuUac
sqt2Bjy1uQ7eANRUS8SnKI8mKxy0LYdya9R+RLvOLXi20p5gxcawHOsnviz7CZcxhbNmWv/KZEma
oA10cSGRj+25IRAP4zxwsi8ShuYxHLHVQiFNHpKCDgO4cXQw+QwqfkwArC8Yy/OPHIAcimkUXej4
dfDp2LhtdRcV76lLb0VdOIv7dgiWdiSDAxPeU4p3AlJeDwFJr5qAt2O9a2xWh6Fp+4IAUuzdZrTC
DWtf6ejWmB203djYiThMnk0dtL+qUlTPDJHClyIqqjeDZ39raK58yuXMiBhJ9zCVyfwSTlX8WhIz
jlYTaLs30RjeOyqw8yPXk4a+PmMhWDzTjmYLP9v4e0pukVNtOA5LSpVu6Tsdf4mZVgED3WZdQpJb
aTzaxXpSpf1sYF462qM5nZthCN5S/ExUhmtaDSc/OXnIzB5zjLbe1VUTvs+ILDwAVa7e/LINTzN7
bTbVc97sMzaAWOIKHVNh5D6yeJU/+7KrbsnmmHuGDQYeMhcYK9u8lDJo40eC3IMRHxsF2o2Jtxa4
xr6PlnYnRJuSNplCbW1MZreMy2gHGiP0LjfJ2ZSUoqgfJj00wSqbcnJPExUDRCF1ehbtkB+dYfKP
C3fjlODc+krZpFHHB5tArVNqoOaV8JP8UQeDSWFKVlRnXhg+iGUqHm9FPTXVnmPyCFBeKE7RJPjT
YkvzyVIABBD800qb4Q7Berg1zVA9uBhsf7qqy8+lWWawC0LvV+C4PgzhGv+4Iw1jLaze/kWnUPUT
y+VA+xVdWW/UJNHJ2jRagnuSjbfxk8VCSXmgE2Lxs70Dt2pAuaHtPGpXWcBEgJtimQy1eQ++zHmO
ZFF8lVHzbAWooqVmRwLgnwSVzCOL4IOrMlh9w/RewPyghgnttGM/RXRfIr3PB90i67lBr4sdxwAu
clf3bDAMr57NU0rHIRXRrYVVkKhpcjONrUtgiKkr74io9Hd2FLdXxAkauYG23O6GWXHrUD5Dr5Xw
WWwEkb8A0j6dcr2ikXfFLSFuzE4i2Mm2BbXgyei9A+8AravRr2B46nRTSEVBWtFU9zE/lL+jItd5
0gwIp61ZKPnF1giwfLBU9aTfrT35d4NP/d3mw8R4mnbczanek2delMHvCiAZlN4PgkQUA9Vs+a+i
0B6evHZZ2QJv2EezgWpvEAM9RXL6aBp49UyOh3HF0ZrnhD0S34BhgkUnA6AXvO8oa8xxoLXkc/7V
REOIZNm669ibsIpY1rXbImGyFiztRzb0p3hDdnMUq8RtGHjY/MGj1fZ9t6phaJfbOrIJGHWWrEiK
xAnSmbbSz1A7+VFSMSTWedRSTCVxMNMwFKpPnKATq65jsfwzupmussygNXxovddZMXVgiMHhrWjC
Ivuf7J1Jc9vItq3/y53nCQCJRDO4E/YUJaqXJU8QsmWj74EEkL/+fqyKd1+V6jw7zvzVwFGuskwS
BDJz773Wtw5dkcuPrBis09K5FQWuWez9ostqL3NNkGUGqAVFcs0wL6iOE7TQduszTLvzQtqZzCBH
dpM+6r+brCF/vnFE9wX3awnGgdNEnTQ/pbbDkxJueJWhtrqbjBQgUlyqNexi3c2ykCDKrJYaf8l3
rgc1QzDt21PbwCWjam5+toGWySosMmAlgbotmPvunbiNn5KylOna6QUh5CWJUTvm9smu6t13VVvL
g4Bo8V3AxEWCb11jba4/wFNmz0TkFPDwpjqk+eu2r5APUFXGtX0ugL89xML5nRDjn5KX0HJRQbFx
g5p33Yt84i+KhSS3/KZJ2uBS0zM8pWK+8z2UlsXQpOzbHFVvtS2yZ0trttJfCybcfyeXQILCFBQo
F8KbT/oesN1QPsI52C8AN29Dr+kOuuuZIliM7VGXWyAOErbWmhyfj8mwpXTjWO4andurkW82b7BX
BEFJs7Ox8MJXDJgqJPW7iWM882bHvqviSdKWKT0fKkWpQOx6bn01uRnK6B5dKl701aToDUqUWsV6
JBuZdYUTMHt9QcLkiBe9nHOxSlEHbbwL92nsRpcTinqaR4oDNS32XZt637MKspTw9XAgxQ6RFyRz
8qWSi1RqBonx60vn/FNGeAmrCOGmSYfuoP9JxFZyK3H5XE7raCipG6w7152XGl/fQrYikqVpQZsh
IQ0wIwLBnfbjsguLLaeAi8ZgumTHxiGyZNLMgtVYetssRIttYXBY17M4zdZIvVvkHIBlBqI4y/3f
CHMuQtJPaqswVAy03IBf0edclHN/ufVS9pJGh124t7om+4MqbYp1YObkZMTwYM/a22g2Z2C0fXJl
W9b4g4nXeOxIpDwQ2rFRdpXziAGkDip0G7++wP+U7fHmXC/gvvRDlKmfrm9MD8+zvTLENkejilFk
HF7jP+9+8zKfsJAXySP/uCgeeQRY2u1Pr9MwMHb7qAn3jD8JYydoiDQWCGKbeS68bw4FPGtk3qwr
OyLJedTeQ8ohdN7QGAdZNzjhLdanHNkMD0ujCPPCWA+JJ48MMurUeiKksH/59aWxP18b1mvLVspC
Ogn8g4Xj71/cJXyahgT3nu4dFgXjkGHsWzQHgXNgYqMMeQnz29pKa0AFFyRC6VjrRMPZXUid2iBm
WD5UFs5/8lH/v0j7NyJt3PDSuXwJ/2+Z9n7M3rv34a8S7f/9qT9F2r77LxfBGr0zxYpi4QL4PyJt
L/gXIFBLslo67h/Ktv8r0nb/5YOi5T4APcxD7PFDPcT75L//y7H+RTyJBAnpsrLbaEb/E3zj5zvO
4hWC0CKjC5Wrj2Tw73dc6KTa65l9bQcyyHE6GZzniYN1/S8X5e5PtfNfxdmXh+3P/3r8+O//Ihnl
kmdyiagil4fOrPz0Mj3a2mzC8rj13Fx/1ZYILpKWGF3UkOt9XDIr+/UL2p+338srAm5GHc8KIO3g
0+MfliYPxpwGqm/PIT1WmDUJArGkRL/ry2oDViB9DEDGHoYoeBgnKySGjJ/6Wi2gqKyW8IreS+SV
DcJiy9QvuwpJ37opY2OubVCsv6PYfl6zL++Xr9wF2Isy3/IvX9Rf1uzMR5ozzRXcwqguPybNktX7
Nr/ikQw3mYiCFegXhBlpUH90tWU+xjmYXpY4a/ZqvEA3xjF/rup5wKRj6p+/vpzOP+8T3p7EN2Cz
MXJPflqZ/BCICBY2bzvajXuTGhtAWapqufH7KTkt2cyWTPJwfUIfQ49J4A4bYqKTec/BASCW/8VZ
4vIWb+7JthvMt+J+pp1IJxKXU0LTUudvHBCDPcC07q6onfrbGNuQkpa2efj1Z/kUHPPnzRj4PEK0
GuArXlwTf73UQWomaxilgrJbJNeLIgF6mmcn3sxNkFxNHbGCcL4ttRV1P30ghqlJTygrjL5VeYlf
9UJxP87z8Oa5GqEFiLvrMhfqdbbzXd+rG79LnU3lpxpUkIhvKznq41AnZB3E2VujaJ+kkXoNcWud
GVKTDrbcBksKjm0B2EEL3DvbZYXRU0SG/JzkjyyV1I52cE085o8+LrKF+HmnmORN11jJR+B1hKHa
ZDGclNdy/sqgINDLc6wTjbtpYTIKrmNTQ6R6/fW1/Dt7+Y9LiTSexe1yyJTMof9+KbtiyprGadW2
4hxykqI0H+BIvWu3kzhx5577FYlpWNMftao7dFnd5tdv4I+V49PK4l/cfgw+JKGMn1nX1Hl9rvpF
be1IlmyNebWrs8m6Bpe7J3LhJ+ar+XbEkEyS5czc8jDypn96bdF9c5t2uGnjiT6Ng9H7ONW0GH3R
TmTvVr6NxFY2hPjU/UHrPp5RvZXLR4jm4RGkRX0KCyCGtszj68Z4MRkcDYXgElvzdUCUyW4YPes3
d+4/zgcsEiwNlz0Js4/iWfz75W4CC9fW5Sns81af4/Iy676cc44NQVZ3YvGIK8EiQ2FaYP1qg/gk
G0XFDmeoOXDcCp5VrxZEDrH1H7oXeGcYXMIA2DjWhcD7dCMgESt1oSYUbFBs1rKrfyZ6OdJ2nTf+
rP9DN8sfLxZiprGsC54//IQdr9mgpmAZ1JYDrP9q1Qv6YwBIt7++tf7NihxgV/jfV/m0TBRIk7xe
dmqbyzT9wfm9vl7GigmLi3lp9+vX+jfLK91PN/QvwHaXf/37F0sClWKirdS2GHz9Yk8MeubI+L/Z
hZ3PsGYV2BwcSJhmCXcscDV/fxmHJTdYiszbatU9NLA81qW17JnyknP0REbn7VzJtZynjxnlL/kN
4tbYJOaynwSbTCIOCccRqUri1vde30x7Px6YQ844pxucKktibZs0JqF4ZDDszoC1ZGi6TUn0HY76
31Q5n78eFQRU1eyVgKAv56pLHfeXDdO4Jm9Hr/O3LdsO5Sx0JA/A3oaGlvjNIvOPyxZa7M3MRz0O
MLYKPt3ciQEI4o8ihLzhMQ9ecnHwLaNPcVcVO9lH44FLHf7mRTkKfj41kQTH485xiYUNj9Pnr2ty
BuWUUG+3upiesM3VWxnjgwmjeXqVbV0S5T33D2itj3Sc3mhqZTufCvs9iy/yHSs5cfZBNBKgzY68
u77B8sraQn55B250QBffR+lb5PRvNc2X1JrqVRDgx0anRwxuMdAYnOajyrW76vzeuqM11qwvaZlh
usA4EIp0tdRarB3gQ3VDQOVM3866ph9U7Miqo32DkXglm/IepWuIwzhu2AceFsiarLnH3A0e47Ae
b4337jbmo7JMf1uZEgGYUvFrj4btVrSZs6N7B2aMegcpFhNRWqTZvki9CpdUW2RvixH2ZkbNnqzD
udcfTgEMyE3cEHYUYt23OXVgLFnlE1qPuy5g7FkT2BTb32ErdVvQgcxuRFx+9ZVKUYwWqtvRKs1p
8pJjOxeqXAMCLs/kgOd39uxF48rJ2mELlZQ9txudH73MAzLRfJLI7JjQvTSfonVInDSUPQ/mQsQm
8ZUBP4lhiJjIel3WUCwfSXSqN0N7afRV44h8y7TJcupk4t5HiSaiIF3Q+VpblHKHOqnM3inkIfKe
RhiGy+xuhsUJfy6TvM6n8anV4w+0C+olvaTIA0Ytt2Ggv5RJe4Uiut8RsKJBi7T2S5tl8l7nncI5
3tQlf1dBSyc0ISTv9r4MDcKkMbjROSPRoWFklADYI1Q5wGsP+lzfYgeZSb0q1N2gAzrOPV/b2OHJ
XEVJ/JPY2ZAGatQfLII/73u8Za8VejcSj+We+CcoOWk2B3d1XTb3OPRxxs8EeSvU/y3QkUwvz0Vs
hnsZLeNzAzZh3YpueRJJ1Ozp1OVn0bTxwcydeMg5aJ3pFCXrDO/Qxm5LvFfGa86U6OM2p8u1hZ1t
v4vI7o41wuKz0zXtJuHbO5gMpX0yFt86TYc3u3zCyVJij3TkDjzV3tRPlm1fKmy0rNFyE9ERpnuW
TcfazuvvEZSSJ5pn9qoln5YDOKzBoM3tK8FEYTMM7bAxIfOoeo7Vvd9OyTknYXVjNYvN4LGrfgZW
P++EdpcrQgwZWangR9KqN8LTgD4hW0Kr0Dnp/MXv/frgxpNYLQvt60TOcjX2iTkGJCnRMIu/dE3/
pUGak60GZXffCkYbL3GQkyOFhmcfMmZEVVY5ayqfHkR8pzZIJ7xD1pEd1okgBurEmyIWE0xYV4kb
IIeAAuyIP5xXD6yw86Et2+nIxAQQrEcMoeNfwND6h1TxqaihlvXwFatVZcmZTLuEPwD27FHPYbDV
hOjtkGIFl7kvmIxaBI9yXL71gaofim4iRWZkVeAZNBtXpvpYlOrONJa8H5OS78QZSePFZzZeuXY/
8VANyS4JJ2S9oVzPTt1c+xleklxeUkYWponI+JLnQdKHziVaFctq+YB1268XgDB493s4SYgyV8pO
svd+BMagYzWdUxMV92qpJ0bbotyS5jhskiLbIzh+awmk38VeVm3cS0rIYCHO0qHeoFnNzijQJIKO
2fkup2xkDNpmmzZMrE0KY/rOESVuqIjSjjZo6b7IqEX/IGOYlviSkArmt9DxYbhHy8lGVzHK/kiY
8VOEoINP3OT30ppt4tFS58MilPiB2ElO+sFk3H3WO8AfOoNQcu68287Bn1I1iTm0s3y0mZzD63VW
hJdrZhfjvjLNuA0751ul21OCkAMm9jfsGRcUjnYhzXjOvhPWY03KCMEj+qZSOrqeRkIXVwra+Otg
ShtJEmLBrzHlmcYUVKLohUNIdW2602AzVHdK5Gt9Hp9Hg2dpcCZ7nUzSOGu/xr0k2g4wFLpvAR28
cnceg9Q19FUgChIPdJblp1oKfSfstN3BIsS9hTTrSnl9/eB67T14c1id0KneU7er301n5Xs78tOX
qCL8ccDseE34uXzlXdfbfszVuUK2tKcPTiic1yTQfkV21QYWWhmPnbNzlpbnogkPOh2xrJBCfr3Q
9dv0Mer3RioGDYvCBtDl1g0qf9IGWhZvFHH3nf0zT+gj4BNa+qdg8FFk20lz50zF8gDaPTg1XYGv
y/jZxdy2bF2C3L9UJlxex4KuY+gU9sMct+2+Ui57YeJke7eDtnKZ6mGe6dsd3kT/4nixjmkS1lcZ
eXzwcZc7CxnKZs6BxNLZGbYWn/Z6Im/8BNBMXUdyVFuYNBYWqSS9L9JBAv+Ygms3jMetFWbxjUYH
tGX2rEHuZx9N2WZPiSqtderG1oFbdNuO/begVIxV4PhiQekuq0uYJKRJFw3HbthYy7EH1Epq3lUz
3qrLFKr3qtupSNtV3MzBsLYbL9oKCCY3kvz2B9IT1YdK2/LVvzQ1hXBflogc9zpB51W1g94rHCLw
7swAI8oNq5VwvRJ2EG7AUAKAZHIqN6mVkd8ouvZRKI2cajZFqHd+o5IjSZbNzlqYaBc2JEPjltz4
0dAJwsMrzz1msTbHKrDwpA/+XcDPr8ZZiHuArcWNSdsPr3fsrZV3khNw0VWPVTeeRS8P2KR/VkF3
FecmvlN56G2wuTOhBIN41JLrHPspzlCJsJp21E0fN1uNjJiDWrRj3DahprAXfE7CDm8nOxxvh6GP
n6nwsJsBi7J3IeDDZOX3uju7Moxe/M63H8pysC7z6+ZKxvF8M5Ni99Gr1CIUvU2Sp6nizQjLVT+Y
14co2pPqKk8J+3ASfs6OArHpGLbbq5RD3w6aqkS9OMvlHXOZf13qHu15LOtq24V+9dBUfnVM2kz/
KKbZGyHfi+YEIlbveyRuyK/s1H4WyNlgueRhAFWX/VrT/mG+SyjanlRUl61ybKMnF7csXz6S2VUP
kH+/tFIVnDNbbFFt4kB/JfLypVbhDETTFPGm6wsi/RpAWEQZjZhBV22dhWf4iHrn5GLakK9yiQCM
hHqLW7Ygv4mKNwhzPrEcAjVdjmdkNU1leBOiq+fNWx6aytCgi9UNvly458LczkRscGTq+ua2WZL+
JtOAkT3zzfWzLyNY+12SLM5Vh/3nMI4G/rHDA23K9iIIA+gmTb0F71VBBWO7sRzUtauwM+2lRcTI
oPTaDem/47UjO3uHZDrZ+ejHryD1VozWymg+6mTaRaXcZCU8GXZXbIVkVKAQIRPzJOa0eUFjfhqj
D7SED8HkPHWBfreZfZNM/1Xl/WviuJiEYlHet5oQw96qwEDiRb4udJAPm4LsyE1t2Yxma7w8Z/xX
3cZHtXIoCzHatKIczkmBqm5wVA6P6KDyjV0Hsge474znvEphYGNqUbBUK/DXvIXxro1UfF+E82M0
l/KA4L16m41l0INNljzQWpp+6CwaHg1T+v0y12JbNY1/QOQYoyJj2/sYxwBIOuZnfDsol6JKNnue
5ABaXVffB7CrD9qy47eqBnjf2fgdvTqu5nUcXskqb+69nH7Hyg7TdgPXpsFSVE0vFry9klpFS5C1
MdAuD5nfx2wR4MD00kt/8jPVtuhKorLbRcDn5BiTuIDFwZEhSc62nP97XFwhIjWXVuu2c8LyWqOt
BKDq1f4OQ4SPnMkaWHLdWq4JAxMMmcPgkSE/BYNP0/A5MQtzmMG3TnQI6n0HkYWHewzxJuA8cCNz
b2cToMWy+hhoOu5mOVjvPMPOdpETQZVjYO6EthDRI4HgGDx29VFWgbixEky5K2vu8psiIUO14/AB
zj2v0K0U9X6MgnSTStc+lXEANsm6csqeAI8xJgY4aZNHV4v60Sgp1iD/lvu0ZDntCS28J13K+pqo
Inxg+urcOD7cWv7K+PtlKfxaxnXyOE4l/g8Oufapy/D74lQLn9FfDk9+HubhZhzS7ywsxTnR0/yM
LTLNwA/mEBsANX+dUIfxGZL8kMSBwSyZxmfbxEBYsFZd1Vkjj8SeDefURtgG0z3+kjYjIbFOXPEA
0UKcmFufSg5sX8oQxztj6bDYc+ZpGoijrtgG5cxQVjMMvnQZ0lsac/old2nMzWIpr2rkK+EKXmh/
b/WJTzvFdMuh4rx28orB+zHZrdOuDIiIe8mtet8G2VIB15wc56h86uOEeBb7QMw31ssKN+OuzYLq
kJBb+qXvy+6tzRBRbqXF4GBVt4ZsZQ7n2fPINHbjkIO+dUuBxxEpDoVNEJfWdZvo5CzgZG1tVTdo
Kjq9EtIGwwV2845tMtt10hSSp6SN18kSLAhMqupZ4A9eBzCdN3BTSVtpq+Gc+zN00sDn5teYrRs+
gkBR01Q/+a3rrSe34GiZL4GPB1zgFKG2CtSDSMhz8RHibcmRzwGxQn57tgebfqVlcb7jf7ffkUfP
W220c2sjt6G858Bzjjqh31USYTJSQKu2ka3wjNUV8NEHmSTEd7Yk1m+EWcb2VLsIfrp4eeCD0kJv
ullQVJVyz6a+7GffKw+5FJZ8KaOo/4nyvKC0pnFXXTkuBDB8q0i3TuGSegTuRLa/bIol7wAQxK0Q
t5byhuBkLx76uFmp17Gcy0NjAvlQGBkeUpHifSl1DYCYE35W87RjY9lSZ063Qzu1LAUMuWccwGmY
7FCGNmRMAyYnNDZotkvfLc41XWp8hR6Opq0X1Fji1dSK49yqGj9J2D/DjMjWUNi81dT61GkimH+a
JjQlXVh3ujJo9b8pu9E7YBNskQs7LFTCScvrEoLqFwfi5k8c7d6NZZT44KO3b2OEkR/gbzNcsRWy
DPDduNV2QazdnVUQL+e+9oIGZ7Ipdlpp65puWMx6jq4KD4bEAdpGdXObkpF7rrF/fKW0pFz0pzb4
hgkgp7nNwv2lJegTQ52c4DIkAf4DRHmAtyeveevbENBy40avjJR4rnSRUuil9eNFk3YddSrOdyKQ
3wiz3coJ3YA74DRt6GfuM22u8hzPsTG0wFYVxn+iZ3zI4uM87KTVxCf8jfZtruAmr7Ju7HzSxQmq
WCozkF8IMINAwm7Ylk6NPwg8yyFj+3qJc8xBrPCJh3xtsvurzmT5e81x6WKRHg48qvGpDUb7rukz
gRESkSDhxXjExXqYoaqu53mJ+o3yUbq5CMFvMtumMKAa/uZgckYQaGJcDfOP3tY/ul4gw8Hzh9zI
hs7p4yfAkr9zJ5bQWlXjS9fE8RUA2/AaqkH6Q/slImFTp8uZzhY7Q8nBGnmv448Ysm3aoB2WPjM3
4gfCwghRvi9/gpec+u+XlwAj6E3Q8Wf8XWrroZQh1kkTV4mv3EJjYBFktWpQCa7diA9XLxEluHlR
HcbbdW6mbykxJUgagnm4nSP/TieDuhlYgxUfK9qkw4ycPIT6e9JDa47d5A6kUi1vFn+LhxEQdiKF
Sb6HRwk0iSUCV+hivgYjfbh4T+zJm98F063V+vIVvjSfnG14RX9xODLjwlxWlfKF3WntiqSFGxEt
6izseVpzlslwReXBprXNDfElJDYTK0UaVdt8LMVMu60cxT5qqHUFjjmoK9OA4hYPP+pi9OeBsNWx
50gbYzsIHYItZrZkxNvz3oMQu6+tvtiUpHL2q3h0GlRGotpZbucfa98BVMFKZz8CtfO+08rIws2U
Bcg3SEY6Grt/KKMuubMd+oKh6BEdeqO8icg/GTLuQ7yphG8EQb0c+MZxDhvHZegaTNyxSXiqdfg6
Cem/JAY7Vr50zToPjE1rtpw3ir33CnmsvAn0iHST48qrtkHal+ja1xwOGqLk9bRONTlTbhhON/NE
4Am9BLFsQ5kwrauor+6Bs3PX6UmfOj9Mv8cd3ICmiDp4fkyxQA5Xz6Wn8qcYEPGDELH/wry+piQi
kBn1/4j1CMJLTX5MBqocjkDwElwkU7IpnEfMjCH1bBqtKYGaI+Hf/a6R+HW66ZKt1ea6wtrPrRK6
FxPfxFlyzzaNgCj1LSTDpKyApb0gzr160V9ZRtuB8he9yS6sJ472SLgGeClclks4UVPu+tQfHwbU
aYeC4z2aLdojE2WXg0g5VJO4T4slO7d1DY2sLbE71h0xSZPyrmcXX9aUQ2wPWpNtlO6pgXqif7oo
a+7Sub7DyCSf7TlaVZ3zNa2997AIwQLX3pwiWdUttmFTIlrrvPWwFDceyM9DHCfWA2JtuUbuHFzh
jS5u0j5/qiAAI+HUyc/WduxHv4NGTaBFRISsNFvRQuxwJjLYsPM/TOVENGuh8vPMTlqNZbXtwZk/
wNCPHz1TlvseB+XOKeky09CVN1Pl4qD0IJWMfV2tGIa8jUFnkaVQiP0MjhHLkb8fiY3cZMnwc6Ba
+VjI2pONmNfjMnbrWRkf4XWzymFCH4lrJyqEgIQ9nmt6Q5E/wPunO4Dn0yRPwzjuDONQ2VZ8x4xs
t9bSf3f70pziaZK3wTh0+EHxgjQ4jBBs03/au5E17urcEi0EWCfYOuq2VS2lGKZxVKuKnEWg+cSs
D4yWm63VFqegQy3SiG2YVWeNNe+tDNUHTI14P4rZPmJC508HhXcPznJd9961Y4aDwGm/qofYPXUt
SkgOvMwOyn2dZPc1Gv1vSWOmiyQ5WTnTheMx6+VEA+w5D8GINJa/ZvCwvnjUV7Eem6MEWx7DNKeW
mIsPOcCmyGX31Zj42oZ0AD08rWt4Dk5crpjtO2wHQu0aRQlkVHr0naVHAhm2gN2GikkWRw8f2Srh
Wp2hQAYy5K9qqSo87SUUoks5oexw/loRhH0qNXY0WXsU7eO8i1lzN5Yf53pTpOpbXVbuIw4ePERx
4oBCnYTj7cikGQ7FsjQuvZY6uVIiJV1SljaADG2L+J3AipzHs2vw00CSfZLw86i1NN22fNHbnOe2
WVNLb00QLOGOAQWtDERf95Fwo0dYBfCQxrAO937gHENFPE2ANa9VTsocXk/TctC+Sd8jP2JX9DNu
qS616+wJ5E7GyNGWSfgepxELMbpCf221iYhOXkp9AoDWswnnCrP8Pox9JY9MkzP8UiPzEeaj2XWh
tFmbfJ6hJTn0RL0BQWfMfujBD7qsp6GH4atLH7JJ54/jQIbmmnUD0XGGo4lop4qsRi/1/LcGwN47
iY/qIydGBb1xOJarKeTc3FPXrZ16LnbGDA6WisUmAVGx3Rdo4hjrxJpqMWpQlwSie6VR3IFRngCs
z4N/5XuKHj5ke9cdsGmZ4gzulrhXcFcyc7DoNu+JBdWZOdctqY3wjapbKeITBHnx6NqXZFnYE/G9
4kBywx2XEBqbtVTE8Lf7mDi+xf7o1AzbHZXroSBGhOnS0uLMRtBXhl91rB9UO78i2Z8H7F4cMzJy
Po8zvuk4iIe9W3X1GUVxuPY6bvQypdkYK+cisrHHB/buih0yp0uWFU25pQygUh2Eiya7MLr8YbQq
1h0kLUxVCQ7/ROIsjKiZXG2hMiHVct2E/YRVpRqeY+iwhPJImtSFas8Z+gGryG96KTB1zb69sYOE
JkVfR9Er9UJJRo/ttxsfoNFR13L4mtpZX647b5lPBmo12QSYwjj4poyFW7w7pCvGLHkJwlOIuFkc
HhbLHjcWpY7D+lPWZ6uo1GM7YarEJgqWxBIMR1T21sfiokdnxaW3Ot+kterIdpnN6+JTtZVrRll0
NjxulluvK1+nyZb3sYFPjadfLl8RLOeHkdPxDeR773VpjU3zi7EeRyIDsyRbQutmLoTVrnyfy4Ae
TOAp7OPoVtIa+k5tShVCwtY5JdiPRgXXjyspEt/eRsouninhwJERSgZMaT2VtnVyQ8G8oNf5czng
xBqbidjD6WXoy5YrGD8zQN43duAfCmZJ29EQbWstC5R31UF4qDNxK2NGiqwr6TPBTgWCjYbKRHOj
rQrP6n5WJsXy7ucrN132vtOhUi3qLTgxtmwa+WsTpHTgwQriD9HQE4JkXLlOAxNrKR1qfMQo3sZV
6TdnBHKOqLGZDiX156sFnQUFvtseVea0H1VOP3YzO9wgU4qZb1VCJXkslE16cGsPOcm4RE+ExvjX
fhKUmKy9Hv83zbpwbbmx4X35hIpXXnwPdv08+CMnC92kV0xOGDk4ZXGYu7AAUG9hCF+55WQeDIGH
B4RnU79x4KAcgtwiFbiCfMJpJcteM1bF78bubKS6tvPoNRFAr2Fu0pMyLkuY8vXdkDM2005EIVc7
4lSkTkPJBOrn2DnaJUWWDKgzqcDWlV7gmDNCa0jDTXBpQ4ItyPThKOa4G9D6TCyEM77kvcEnGJhg
m3o43KfAhkcROkfPR9S/mhK1J9/U4PHzBueGCg6GWcdUEWBGa+6r5qMH7/WjznGOdv4orvPLiXcy
TvqAXq8+y1CPeMWK7C4zxjvwKMm7kHbQi0sUyjYIhdoE2lTUe2pYObhZcdzX89rNMtYtMDbXyIzA
lvias3PUTidW3HmtOcvtRlbpvUd86GqpAfXhsI3sLwXtBlKf/HHT5GGyAdfkkUgbpje5XavvQJ59
DKWmvsD0MqJNRxfwYDJdfMbJOG3oIcnNJUCUyCIxvHZpoh5t7s/7pLG5lWI50Hcw9QMO+n5VM4da
s/P0m4xFlgaVdo8WCbl0U/Il3QS5goBfNvl+7L3hSwuxd11bkoH+VKFsw62Y8YlLMSaQaSqANE3s
E27q18l3Fx3tm4Ktd7s48CQYJ+KkQqi4qjP46AG5hmvHij2uVAFav5LLKYHZxjii1nw7U90G72IS
b1Ww/Ii1L29UKO+4oejW001aQy/I7hJhX1iCWXepHEBvzGdibcBGNlS9oBJYPBNYDb0+cFu3HB8l
LdOpDJKjnaXxs99a/XLZiLS1qUMA5GvBlUUyYMJrqIfRQfll992JJ0z81QMMuOG2FSWmAmsmljIX
uiO4OkM+kwxpdB/TLHrk7kq/5FVjv06OBITh9/EWmEq8i+rI3EK8IKfGH6kvowXIDVlB1iuqy+E5
Nw6NqQCk1CozdnBMOhCUqLbiH2Fsgk0TYc0nRmN5bElmv8YIVu7YLYqt58N0w7jfUI/iOmb8Yv9R
JY/rWVbtSWRUX05cFFdqie2jGMKBSJKUiYkpgmXXu9qcabQQz53k4j2PY+9F9hy0K4qkQy+Snj4s
IY1zSuipPYCxcObxQ4TgaAgXhurqO1jtCFVIryMzzXfckQVHard7qz2dfcdyQS89ic2j7zt6Wi3U
O81mYXyMgmFD13iFvpFfc7okTwuBxyNwfiIK1pYe+kd7Lvuzm9etOltBpa8w2sNJUmIat4pa69Cm
CRN0k1t3i0ywIQqvtA+hnRTbxhvQqNgYen0CRJ8iLZ1z0tQcRGyfpk3hTDzPPHpN3DPEDEwB56VE
QiKQUJm+vhG1ePYr8UMi7XwqG9E+1KMLFwte1eVUW+u1m+IFFZ2+XQihfJJzrh8E2cokmN5PtFp3
jpuNr/Cf+jtly/lVYGbcZghRTrJOg/XoR+Mry8qrR2zdzSIu54OpzM8yd51TVfRgvWJCkWPCo9eR
0vmH1lG/ayesA12pU0oVi9UBgdWB2jAlr6JxBjLvgSYcC79v97oLzFsZt90CncA430spOI/1Da6t
gnPyiRiAeEM2LH1ZF5pY7/mGJJfRITfxIo2oRvAjMm6O/0Pdme02jmVr+lUKfX2Y4N6cgdMNtEhR
si3Lc4QjbggrwuI8z3z6/ujMUxl2ZUVUAaeB7ptETiFR5Obea/3rHxD3g/uY3a7RrP6yGvGgiEwh
ng2H7GQAzSHINzVWTHeArfEV0VkaKrQu4VOtyS8rNb0I+0y7ray63eaOIzxMMeyrXgBpJMV5BK/B
KAYaZoAUjzIa76AZ++8NjmqonVrSXmoT1Ni0wy92FH2HpfRqg7bizGr5cYAnigVFrW5N0rhrlJmk
sJO7oeyKuMk2+Uw0RjrrXpQP5PWEmBeXn6aebWdaLG/KGAwpYlaZG0dbXlm3F7o3xJa4yIZVmyr2
MIYQcgzRfsY/xTXGGAYCUyHygCcGWTayJ/TdmJ9KZb+o9WWm6Xv0Rge9Bv2ehclEiI/ct/aU+HqH
7yYT95hmsu+TrxYaVV8hLPCatIj0QTL/ejQKOsZyiYHC81Ls/mNZU2cbRvdbi5C+FyWK9GtaYBWR
YpjuCoxSnt74jP/dipHda3l8yV/b/1w/+FvJlcaoRP/X+39sf//n8LX0XrqXd/9APjgznTtcK+b7
V7KI+KN80B//57/6H//2+vYp/4IWBD3dD7TO9Wr++LPrj/if/2NXvnzUgbz9ib/rQKRjGrCG0DyZ
pGXApR5f2w55hPYb2hDkEX/IQFZCOnzdVewhjN/wzEDKJCyJHshcWY5/6ECE/hsMSEfAgdUFH4f/
8n/9+j8EGdy43+/GvyDQWC9MNaEVgz7DpFY/MkMtLAyMbBy3iN+JQh+jxSdPRrpCQKWB6DL9gsL7
kb35+/fxhdBd0aCsN+NH9mYWaqiBM4KBFr1F6KSH52GpSGwaMVX44Rn8xS+T/0AR57sMW8VCF1Gf
YRnqByJvb9JCMawYt1LgVhrmBhPDOowEnqKyuk6DcLjuFw1OoeyIkq4b57uZlcMtXL30Ind0Nrta
gdqlziPTlrRvUa2lTth8ZtjCnAUjVeNomqG47FXZnuYRw1e4IBZZ4fDc4EniRjlZm1ErX5WgXyHe
VDwC7neDr1lxTUyy3qi3cSbb0G3hIXldYumvnRlBYYHkNbh2i5UXA7roFcMwvF6Qr3hlkC23HJwm
jUk9E6wL/dlNaYzuEsx3r2rSHwY2TjxANmmEO9eGQyL4bNvIP1EU1OwO8HQtABJ7thCghyTKVgus
7Q01KUlivTOGaPv1RsLct4bmnCcwPazWvLBC1oMYerlltH0oZvOxgJhaYVelYQFAnPNVLI3iFo3d
YYok4uVAxb6GyEwlh51lq/IO2mQB6cU6EGhGkK8jo01dNbWrOQpplhEqHbUnTSXANQwqh5NFpEhi
fBQzQtgKsJlLmsLn2IGRkk966s11jNWdRaACqTHHDgDax0qCYDtINprAMs6AtzuAMO/SUN6JhpZW
KveErQDlIPI2xRTtbAtEHI+mC1mLwU0rja9vGiawIjwXCbuo0Sf8DdZsAKHlHsaC45JGWKB1brFS
0flyaeaErtvq3djTs/WUwa4g2wP3guu8CIl2M8PTyCm0ETAiQWaVXTyqd2XaePZ6R1OQFy/Qo4dO
4DarTvK70QcHkVpYGYOyEAK5U6HVbOIxJKKq1e4CSnw6CPGdaG9fS9Xazftup6nJmQSIFBFR82zw
DwxwjpqWnFMnPuRdeBlWKSGDQ0CPFtUPIWJ0xcBheh6uoiDddZpyiLIm3lbOzLojww0DjaCuw0Oi
6aNKSR+0N3VnHGOlfC4wx3I5dXEWGDOy2qdXs0evT56U6ac5D68hkoFpFrNnYo+dLXF+VJU2dDmA
42QDM/MooREftWA6RUH7eQqluTUkXiCplmLTFyiPgRYe8HMhSp3scMbFq1WrVeJet8YVmyGy/bRk
LiCfU9XhB4DWw54sNtkYn7AKxTJVAWYxAbI6C9h9rbRyla82cVEniRwUoWmN0eXB3kX5TJQ2kU2M
PbMWqI8XNSWq+7FTWmhErfU4qvzSwoIlUPAcQE9PxJyW2/8rx+Z1/K1BbnDu3h+Ub9v9n6fo/0+H
q47ozbSFlDohJRpwAufPPxddei/fm5e/vRTf/3Z8CV+av+1fYCbFf/vf/AvvJX8p3v6TF/fvTuO/
+oo/TmbtN7TIksQE1HeqxWX8/WRWf2NsyfFhoeJXkZ/9eTIjw7RQBKynssplmyon2J8KTVUHM0FR
qb995L91Mgvt41mJ0oHqgKQTgYaSZuTD+VUHCW0hfdA2GJ96zHScR+GHfqS5bGbrNCdBiYcb4L2G
CdKGrmdJnto69uP8MxWmFzMStQd99WDH5HzA9wZzb7YoxbfQEgyVzfImMcA+rZzyqAp5NePP/fhV
xh02bDjJqMsDs4jNKOcbLWp8Tbms7DOGnNlKRh/kMfweFeA1Bp7EKOTG6xKSJ64niNXctCFnAAqN
MIGXoOwgRD3iM+FxzIMtzLscZx+cpmkvdci5yg6VKFHPK5GU1u84RV8LZ9mYxXhSneKp7dS7vF4i
L0ZTuIG1XG1RAjCy+tZlNya8cybLKb4PCZkCNNkwZza0LKMlb0WSPGDMcaERsqPOcq/o+WWq0mqa
+UGbBBBVVd20/WrFRF5aryhbM1FvM8LGpoqBpsLRbfSgSEWtf1ETEpKZqgxluC0ZUybB6Ott6s86
voMdiK7ZeFnaXmtxd9uZ2hFZ2rfUMm8xC4M6MM8Gg135CZvzJ5zx6b2IuNf1BEM5XWwiE2aHOfCp
YRTfoooFPSc+CDQwPtbQn5PpV6pTsapkfpTPre+diuzcAr1FpvwxRCcd4KHHJUfktORPTaeUrq63
t+RD7qNx3Y7V2sssEyCg2GXVjZFPOwPv+Q4GqTerkArzlt4nCBxC77N9qpBF249+k6QBRCztVhtK
f5qMB00HfU2S1qu1+KourtRe3zVVAZvDF4q9LeZqU8XLnZFFKGnGbSOcY8cjrOb4rDfGvZF+wdDO
Zy7h4rJFejAJwiLCH67z6pFiKGkPqOk9OZUIUBRIIeptg4pj0PTbWXUOph5eT3O/caYc67juMSG2
gSW5Wxw41l9NmKDJ0l/W5nJUmUcwFQtXZJgUWYdVma7JLUN8sItrq852StDQudmnvJv3GY4iIcg/
71JLZny/HBbqDZug8rky/JKockyNmHeq+FDSHl6yXXyWMiQd4FE2zXUT0NGJ8bGYvi6JMV1VEpeJ
pBDWF2CxnlF29sxYDwtpscPUhLm6qfti7bK15rsKdRijl/kmxKqNwWRpeOSx91fwXDaVuXz9YXf9
qxL6ozxtXSUaXiaqbUsVb4wP8rQ/20ezTF9Dpf8ccPuCRnzFXdNdhuZSWM09DvHHpR9uwhYz0XE6
xsAbJFDUkKbxtzScxEvaijg55ybCIxkK331rO7D7u/Q2iYYzHgu/WN0okz+s7jcBFX9RDXZ/odof
ZedVTcydSAJizyGeJFLDzJMLNkp3gk6zaTLg1Cyydx37YhVisZSzSdWif5EWMRPFro4yaj6FvNmm
HqFlWxZrNiRqT8YrBigp+zLCbocHNlZ8afFfTfqHShFPixZCU5DfQ2N6yHUKCs1GfwtEvEEdxBeb
XbmdsEzbxIM8Q2TryT3plAPOxh2LsaJsqcb7aBhuR7u/gkkdQkssrqMhSHx6qa+1tWA5mA6PZHXf
DBlCpN6ozjAeItQc1ePYKWcHPM+1Y/NsKtkDqMZzjvNLM+ANaYgzvvG7aGL+BhM/DsnvaHVKMwdl
n/GJgcZOs0cH2vdpjJSLGWEdHKptKzYhNABADJda/HNRyc0YR3sd1lhudNeqEt+2HadHpUovsZ09
JLaUwV//OWm6JxzZ2Mf15yWtn0ICgHuJ4AOHYxdDkr0GOFJDPTfq4sGIxr3KOLDosDtSq4cM366e
CZgJexU+omcm9m1YqBdlNd6Ouk1ksv2QY0+9Gq14vYq7D/6ZcEJ9Rv0+j/6gClI2QAvhBXzOppoB
aL/t8Kg25mu1PHQBGdCz4XcORTazVtE+J8tDYGokjdhe1F85VXqR4M2GeU5CfBAQUQJWVBf5zk6X
bTQW6NE0rBWjyJ0687bHjrxuki8QbRgnr6CTlHhcU7/Wm8S0us9Jbt2VodaghaghJ4zw9FClxQb5
LRk+Voo8x3ZO1KjzWYehEijldztU/KpfaDbK4FCA4pDuUt52dbqXi+EnoMT5aN6nYXKly3n0Fpq9
ejFmVyGAKGAshcLObxP8GcO24GR6Zh66J3l0n8Nq2UD7RYLf5U9aVDyHyAemRvuUdTZcDfPZWOrH
ibYCtiyROQHBMVK7gttsboHDTZqz8GqeTOgx3Tx7TWhnW0NfDunbzLe8QavX7KxGfdHbJdsyhL0v
4Z+ndURL2nfPaoa/kyhwnY6d+bbRu6dhsS+HlWSgISdQ0gtcxD6BVRDwICZXRsmjaM3nXvYwAqZT
DqqOQ1fmCURxyjh5k6re5ia2fkbwKe/GjQ09icnxvdkr12H6hXj6DQwj1wmiYzvA/syX7cxq17EO
XGKJadwMZcx5mGbtsyRFqOzgTYkaWsdpSO2zs6hfJ1piLA180TvfEl16cc7cIDSM+8B5hf8MOrzV
lWNjHytxNLSbor/Ha46c7NxDmL8xtfthllix20/o8ci7Tdxy6VwMyDdDNXkyeSXbZleM9haut+U8
jkzD40nfaNkZlrIn5Jc+fLDCfGfaEEv1O5wjN2E7giVLlotynaj38GqqTbTgpgO3aYZdxBkVI31o
LB+NyRZXvo2DhV9l3ojxmwMIksPv6vpVN8t7nUq8SG9zWFxWdqeG5N6wVzKhwQSwjw0vjE8jhKG8
P09wK9HMnCYNT3H4tielYoTVhPs0Ft+HMemAD7Atx3OU5jwNCakaPYQ2eDOW9gUCAgvDO4dclTD/
FM9KuJ3krH9XGilgf6Et0CzbH8vlymiKxyisLQ/h56OTKl9KrEnKlGT2Kbldgs5yB1h2rlZo+kXY
pZhXZ3aBTxmmdsNYfCv7ZWcv1p4GDhCUOCzVppwKo+lB0WvmCGq1paVjNj++dDSrPRJBBuSC4TJz
BNM6keV96YzRqz33jw48Wxcl6j5J5tArW0oTByO1bYA3D3S6wEuG7jGDrVyJfEuhfkA1cWaKicHg
LuzMS13HFr5srtMRn2mhX6P0O85zt7O1Wno6XS4xMTMmpaOheGPtxF5nNIqLDxCG9ykSh//4U4Fc
GQ6W0nCyqMAekYM8Nwsjj7wkNSRsAzi54pJ7E28DOviNrAL0UpbVuRYK042q4LQB0/bhv6tpfYfq
/r8C46La1KkT/nl3SRv59ybyGH8rT3SYF21Gu9m+ayidPz7p9ybS0X7DywcoE/AULwqKpP9qIh35
m6R8MpH3S9My6C//hHdBfhF2ky2p67qlSkHr90cTaf4G6ATyu/af2Ljxuf8OvCs+SNhtU8XbhyuD
9+SAhvJp7/DWtmWyQXRas4vGXNskRn4qKjvdahYYWBQ0pBks2ZkQLrKGnPRUCk57p4SPgdYEt9ES
0aldtB7Cc8MNxvjTAAPQ/eEm/0WRKdZi7IdWZL1EAmPVFYDmjlCvvb9EbQjAqNOw2dlMRjY4pUq4
UzVMosg5DCRi6Np0NFuyIUIJRgTF+xdA8T+5AJ3QWm6VRVLr+wvAoq+yYdCTtBRyAdoyDW7F8bLR
4oAUcgKYe2yzCTOhIonWyargOn5+Dz50+m+3wLRB33WDtsz+iIq3eoxVXp7Vu6YP5w1Dgcc+Am2r
i98Nvf4p2v/RAuePLzL5GiwKHal9+Kkm+mwO7RL1YTmUOPV0jm911XNZ55A5Zyd2Z5PxXG22nE54
wbrEeGCXOMk7o1jdbtCXof3Tgpc2MWjXJqneaySEuet7gSxrai76opx3Ta6naGkBztKU7HNIkBDO
+qFDwxUyX+jlbU2Xw/rjRs61+QVPyQu1acFH4zq4DAtwVQUL1l1rLNH1HDwtI6V0lC+PpbANnyh2
knra9Cy0Jd22Q3YqlNz2MtKnqGVfhyi/1xbr88+f0Iq1vF+kvBI0EipYDCCPvT7BH1wnrKVQM9QS
eC5pAdyQaf6SBIFnI910AynJxopCKud6cH5hELICYB++WDewt7HwK5Jv28j7L+bAtSr0R8nObplJ
48SdXFg2lEpGGNJjmtKiwlmQZjQS1gXsZNRK4LOWXfBAsa/Fixs2lg0ybli8UwBbqecE4ChlPc67
DBEXMQCSycasFL+K75TgZx+vnciX1e1PJYPNWqGyH2+a2juIrDDg3IGYFV6tGAbqwhWfH4hFQL66
Ta0uownr8iMgN6pKcTGmEKpXFWFActvvG5DOFNg4mCh3N3YLPguHu/UsBIYQNbEEnbTl27/7rHUT
qx3GQ2xIuLJwavx42Z2MFRUOTbYblUaDNMimYBP28/uNbswKa4KeSQCOzfJX7+df3DCpMy5UTUOo
hvPh9exlHoy905BRNbSVO+ByjedG1/7CYeRDV88moJuaFDj3IKjV2HDe/74CEqGm1Fm2i2aroFSv
08smiE6/uIn6P+7rKxZqSTBWoeMQ9OHpl3mDWjIZMrJGsjPUU+bpZgtMHxYalIp1eOIocL+CoYMB
J5b0Mjeyswj15Q7z4i38gYhzB3he6JDMMOBSiLOkW8xQJvgEK5ITQO9JHWg/KoixSZuxjnKaGzgl
vc04gkHRgB7VV7SRTiZDfYfEeqdO7G8ksUo3rh1lW8b8b21kiANzRIQqfabyevDn9drGJ2NhKolv
to2GdlL2byPSSsaOT3hAsYmcSvelbD9Nnd1Sc41QhbvkRL99Qnd7l6PeugwwT9voDGIaHA327dp6
AWnulclR4cSojo9884z6FMPQkj0XMfPKY3FYcIL1XYQwwIYqO5kDa1BPw6d6qRZ/yJzHiMXhKl3K
dWt3OJbgcUmQ81aTHQkcvO3junvjf4lHxMSkR1caGwNM7CDSVdyQOYn+IlTgt0aSZbgOTjC6sj2t
riUBilntMs37CsMem/Y+l/cEMVI8xAsH8WIq2OEkZwIAMIQNOxuXfK4XGANZffpqppyeo5YdIJ0P
KFXYuMe+arcpB4iXTHQ+eaM8WxgLUAA3jgtcYXv4FgVur2Mbzl5W7FL4iprO44CKHrtKywmczZ22
yfX8YGTVQyKcx7pFYFH3IIFpYEc7ih+NgwW4O9N4NEXb3JvxQrWMSp0CYxdYxalRAajavmLuaWXE
uU0MvPOZzRLHeBPFnenXdXaGFwlkUQ9XaNOvljw9M+9zdlM7t16o80NRNxsMda9xjoaIXAxAEap1
xLyPwV/NGUDuB1O/vla9oGKdl+uROZfUV3R+lYuC/MzUlRXLkwVWOBtYfriM8QyC9MgLKAim2Ugd
AcMUhOfSYU0UEbu1Go82vJfyMJFAsUGMjTfvkp80uIQ3PQiYaw44bCCx9hcivUxNJclzVpsrM7Ae
1S7jN1KeHsyE+e3bg6EyOLYm+ivMWOHPrWt3Hlk2aoUigsABAtai+GQjXCbMWLsjcNvZIac42eqA
/T8rXHS8Gm8Lt0G5DzlxwvoH/ZrIzd0s7cfKoZAh1zb9/RXIWWEIse7QSCDOGig+dax/rouJh9XH
a7Wh8HlYw2gbGxMKJrg8/lbldan6Ut1IOUSHUQWgxxUpdiubRVt2sFrXC+dyqWL6YvEThTPNcfjd
0ujbz0yzHb/vVPbrauJVs6KKtCqH9NeBZ2fN6OIWUpYFlhCekWNZFHdOAtg+HMoRkjpgduKvmrJN
zgamIPrbOBbD6IXfwdJNf3/AuWrcyax+xrmFhnpKzrXJVUMQx1yGBdZb6bmbqKPtgZ2gSEK+oKXv
7NZZcmVi9tqIjjZ05CbSDFAPwVqGSOmg/DDE3jYkDPvSTj1MrwCmDEFQ0FI9GxLvh/V0IqMFn36y
hX0azOBSmsl5VoPgVpKlDt5AmMU6QGragg50klgYON+LjM1Ek6xcssWQ67fxU9vyHsOpfTYG9toU
mZVnTMaOEK5TR321bmcz2YbE6ZrHt02pN9heog7UbOLa4t48ytLEgiQz7uh3CpLAeFUIeTzNSsz4
X2OoDiXqj24iWgsWM9aU7XrsILs+vv3CcU7P6ytRx8bdehTgKHrXVVzY2zOopEO4qDISpRMQETIe
0JAbzNrXZVPgDhVIg4BmAbM50bFdb5h9V2G2bdC7QTpmMb7tdDaid9eI7MdyNthR4Uxs2U3GmxZb
ue2k8P4mvJnbkVQjr7F1Zc9IJ7js1qczEfzgGkt5oPFWPUKX+VfVMl2+7cTYDFKImSEyppjpN2c8
DIXFfrSyCgCKP2FyJfbkw9BeqxgeQB/3lR+DVvhKmsfH0lFTzzZQIjt4L7isYT5+PVfwGURwuhbP
qWnAYwiAr0hcIsmJF3HmRq4rbFr4P6OKMp2dxiegq4D4yqJrHDaeDP4dAll2H3vg0WiQN9+ebps0
zzGKPjIc2fXpgsC9Qz6wxsnJf9t/UWmtspMI3kYqtI3ilOW+TlpUm+wAjcMXhBGr2uh5gawlPZgm
Vy3B3l0M4lPvrRzu4yTb9iOSdiXI5id06uXeWoXpzBQ1tO7p6W2tFF1+SuwIwvv0SK7HzIHRMOkY
uNXraRM47IspmJUXNF16jaY49UzE1Rt9yCTGfIzwELv0m74qat8aFmT4JiZRY8xdZepMfY6VflLX
0R7bdw68uauP7JL1VaxH3YU+wk5ojdzElTqaPKiFjp/2QHJl6QDy1B2Bqe2I0UcQGeqeLKzwFFkr
i0UTegzaXA1InuJ251gRpcZE5lVdPgdN0fkTndU3Bf3Bg5Yl1RXREHilVd1Dginajj4nRuAAFVLV
BbLSHPOC1NJi8GcReJpGTGyY1b6x0CYxdlxLg2ooLxojgl3c59CvF4QI+hjATprrEscIjoU0ok6u
l+aoCcJrLH2CwOSEp17JmFFakryQNNBcOS6tn47qckVor7ohsfhEFJe8K60q9SDi8hcb1M8wxmjv
KHl9jI0sxVAliV3cMiHX6PjGMDmFMpaFOjVKjS9QDuuomLljg2xeE5TO227A9kjUJMyrCJ230tLJ
FaqfMye3GFgjRBkIYr4eyAXHZ0xrd5VAkRhDN+HrsbkqOj5MFySwRQtTtViI3m964xKW1tcwC8fX
tGsiAnTtwBtJ+nBpoL5VzBGTcMbZgOJZEaDOEbFxqExxT1PqjphiMgiJPC9iOEAqHA+9hBAbyBiB
LHHGjFISV2tHFTMXZF6qeauMJPw1bAAtWrkQJiNSS55pGF0rxALHJfuvPoxPQh0vGzOzNzY0d7Zy
5bUyWXzWKFM0oEJu0155MXBOYz0J7aJb9DtiToiHbtRDo2ipV4RsmWrSt14TC2XlJcMrnXLe2rXz
WVJYcurCthT38VlMpYNzCfWTAKclbjuan7ROr9cnvBBcyAmEuUxwHhMGu1LY2aei7vUrfVGfB8lW
oTDvKAIgjjytm2/h4mA7qaBZAwDtCLWlCI6mevHHlIpJpYcjM1CRbFzrPq4rKXp5zjmoxy6u5rAF
BpRnfdXwp9aO3nAo7mC5E5YOuZVDRtxpE+B1VkBEbjC4cRFrYgpDSrw+jickEfYuLYa7yGbFBA74
tlKQ4LVwFKzXuZKrBOjDrjUFbSGnNQnKyakX0Sk1ymdSdamRDfWuBR9GzWGxQqN2unwjMMbqqn2w
wtsiGw94sH2lgax9FRfMq1aVzVOvpF8SzrSws3a1nJ3LsWFTI2A9vU4AZbc2VRXis47qet1Oib5Z
rrHvSGF8EYczGvYj5KZTNecHCgyI69bUUAVq11VDXYPxzwGBgEnfiK9KJ0fCg6b8wZHjdpDwLDuZ
8VvjBiXhmES3aiOqL7HKvccQBptBOGCZzgqrMlZDTzYzBRb3FH0T91m37E+lVjRXoRKPj3mtkJ+D
K5YnV/AqDmd3TBl4zivrKmipcxi/TEeFZKh+YzrrJp1TOA2QQDyj7RDJj9SYchkqaM8JRjxNuSc7
ZheofXshHDhwSnQOOe2bhnOoLYxjqHGdbyc6Qu2YMyI51etaDVkmR/yd6PKoCWiu5TbRZmWrcMEb
fT0zi7nMSHqna1kmACK0eSS5hs1zmXP0DGM/3oQVr5Q0VB420Wy7rp+DyxlkklonQwxtdul93Q8x
nC6xVUJohpMVUd3R0W/fTrmGxK5DjEWT6+izjRTSEYew4msyyRqeIm35mhML8r2JJwR3sLNBQGAY
MC8LMQpnNTlzELxkY8unNPlZXVT1hKlUccg49d5WP/0ms8SEGDF9OQNC8Ksy896e4p3pyLsCfti+
DTi5EnwAVqCK8Vi970NnuGbUCbCJJ+D+jVDZl5JQPWooNoWwumscxop651RoIVDhYOTFkJltDDAy
JcQJhU1qdJdKv8TsuNXVLJdlq9d8/Zp/5CY6BVasyJusGUiP1a0RLsEokG6DSrHaOeJ6HtFQ6Hdv
Z68z8Z5GevD488bf+Ct4wbRhQAtpmSr0rvfwwpCgqwmTOd1hHEIjrgHYGl33XFeAgolKAi9OK7A5
yZVFd5EtPqyAnq2m+mTUn+26elTtWPAO0+iuZUZvqdByLOsxHcJbVU6Lq+UkOsiMRIdoVInHHIdb
M1cQkdmkUckufHoDMt96JJjX37EMis7mhH2J0Zl3Il0Kb1Q6cZAoGC/NasoPkyIo6LBAYTXQA3XQ
c+mXUkl/baxmHyoGF2sT1mOye9/b3zFlb64K3DNcPVyrwGhlotLzekZoBxepYGz581sq/gpKcTQG
BVDBQQXe+A4/oI8JoXp5yJuyC1p6SqgywWULM3hvIgkz8xT3z7eNFxwfOgqvmxgpGn9+Df8IgOrk
gYKy6QIFMnju+6eKlWNtxDLtd4kFaaCVS7Rv4XT4kYmAOFWSBlEHclM8RLRfwFUrDe8jjEj77mB9
jd+3BEt6/9W82YJoWaff2fU0bDBSsjxUduI+Hs3c05eq+tqrcD2C1aAKHeltOeQwMyq5myF5Pf/8
NqwI3HscmGRlWFMWCTEWy/sDDswYWq2ickx3+roJrIABrtCU0Ch7t42h38Uhu+vPv3L9eR++EnwU
DznGE6qg8H7/8zWU+rSbxDG3sEm2WT3b2zrk77CEepxa1NFDhF1aMTbZHh10vv/5t9sr2vnj1+ND
rEMRY3rG0ECABb//+qgZ6OwQ/+2iKDJIDR30Q4Txhjfpjk9Z76CKTCd66pXtrEHE38cGJldCKMVR
L/H/H/XcuU0GQo21/qY17Wlbm53J0BOvhpEizWMlt1cZZkY7YoIYU3dFfCg0pHgBlMFdvHQFhhJ8
eDxASgQnuIspPS6SvhA4vqMIVEqZwzzB6Tx3sPJylTIecWfCsUfVogHHlxHpf1rjwl+TRSlD7RLc
jDFrn960s6q7BtA72lqNfhCa+MGslcQLkhQDf2lIfxkUpP2FbXs9CazksCknsU42xFj3dzNxpT45
XAnp0PF4HZAbyhaNe1avN5QwMZiAV6S5dskw0ABzTyFDmXld+EWlxxiHNBBUcp3I3xHP+Z1m1fbe
ibkGpQpCztKHqtNvoARKT+EkvrJNZeFVW8TXfnRwV7JS4xf480fKKeE8NjY3koEltkoqL/X7h+2s
Kgglc2wftMreo6UDKchA6IpWBUWgIk1Qjd1UdV1g5jJi3bTM+lZW6wMssUVA3WBSK/YDqd6NhUFY
Fn3LZKL5NmMexBM47BssoO2s2MhqbfKfdHI+fQo23a3Wu21ri/I4l6N+cNaPT8rupovko2GB7I1o
jreO0Wvbvskh2CSt/YuX++PJxYhFrDMWVDo22LX6YakHXYX9QZ3aftQsuybCkIeu9+ev08f94+0r
LKY5K7UOhvGHG0wZhheFuSa8YoPjlQNH3YC7j5dWC8Ab4YTcG6x/fv6lH3cQvlSjtxIW1QxhNB8j
kUL0sIkZQQepS6ve0mg0LlzJmhYHVYCt0T4pmtFelI0a4PGUtr/YQv7h+LI0EpmYqdiMgdjDP54d
M97hQ7KaFvRmRdrvhJlnJbUFneP6hYHhXFROZ+8YTj2qRZnuMt0cnn5+C96mDe+2sfUaKEfwwrYZ
sK7D+B+HOrw2Dfp5xfQTM1W8Ya7bfa5rDc4Vaovd3BBDH8vV9mVSl+DIjdSP5cSEr+ik/aCk1uJF
g9W4LTlnfp8v9rPaSm5l3Roe8ns/T6PmHpZve2Hg4HNBiLx1qGvdPFjVWH+S5HOjXCgE7jpOd6tZ
aFejQckufv4bjY8HpYUHHccTajGNIoHj+v1vnOMOQT/DH7/nrTqMWjP5OHEJF+LYcPn2IxzM/W9V
wlkOpKYLlyYPx/JFXbyM9Hp3ifXFI5MQ36EIQ0wHK1DPwqWA91ptL6ZFQtZM2r0ymMD1CNVhZGt3
qcT7t2ri4XJZohanA7MBbVnsnTlZAwhCu8UqCINmzNm2mdktoKnoxYeyUPy8kgvOPgZq2Iiw2qZu
j3jeoKg1B+CsKLyfFUNBETJmt/NSfVoaaLFN1F8aI6qnRVezTYjL3rWMre5ZKYvvP7+d2gcbfnu9
nRQ8zK8sjl3Udu9vJ0ZUQYy1keOHadOyqymNi+v0IQ7HhzzXA3zrdOEvnUCRb85IVDp+ZmJU9j61
CUrHfwlpFr28mzm8ZkkxRFfQotSXeo0qVrEJv+JTzMNACijdt17sJ5JVEc5E5i5VhzVk0bkKEnzp
1I7xiNG1ul/LumCAIhtXMctPfTb3/jApjzmHv5cuTfGLfeON3/vupcGzjFEoWVWGzQv8xiL/se5E
hGkSzWz4eJL1NzZ8kK9yGmk4uHDEbr0tt31pd7tunBQEArkC6FlHVyLp7P2sxxXORgFs6KzMn8jG
A0qLee3SpTUwVTIS0nDHioVphrjWMojw1IY1Mncl2bAx6oZetcV2Jk97miOcyqX+MA7as67Az58d
6yGI4u9j12BPQC9wlXeKtQ8ByK7DIrZvO2SB2yiz660zZMDtRVSRRzF1OxMAZKfTXvk0gSz0ga+c
nEzb/nzx/NXaoUrUcRNg3+FIeb925imO6AdZO6SjnGF22Lfru4JDCGIAgfDw59/2lhL1/kHxiDSm
AYahIU35ODjOe4tEuL5jhwW69hJ6/mdA/OiqWgrhqks++ZoaJMfI7KIraTdseA3llxi56dNQgzLb
mMTQuX0enABTafM6WAiFFyCqk3lJ1lSJnyrv9ZAwXuT/dStqQk9xWJdNwvEhR95m1bLOZYsNhiwZ
nIh6GV5FSYgOAjBBlzYVh6RVzW0awnuLoB88jThg3QOuBJ6Q0XBXxfHi6hJMLNUFqb8mNruh0g7X
AOcOpk3mXQcXae+kMzvH4vTX+f9h7kx340ayrfsq9wXYYEQwOPzNOSWl5tF/CMm2OM8zn/4uqgu3
bbnaRgPfB3SjuspVHjKTSUbEOWfvte2cmGmULCcUfQuCJiGHaXk7VKdL4mvWP8ArMDZNzzZjhIQW
rLV04l0Bpua1ao34UpoFWsA6N78oH4A/A2NaB2FYGDuvzhaCCRpcKNYsRo6wtyH9RU6gPBDzHx60
v7lbuEkAOC6z/2WX/PluaWw7TbKACaSL/ZA1hOtXl5rNqUBB6GgeiN/fL7++HhUc03+OWAiB9GfF
k53kTGHnQu9SMuzpJfA0MKLwjvR33UM4k/v6+9cTvx4swXTgf3aFhyTAwbb88yd0GSVUMgisHT1j
tY0mpnCC8LaLCA05jHoyS0ag8NugsUmZ7upD3bBc2AlguyLj4XfAhNDpdvz1mPAjr2OjMnu+arOw
AKU5osW9z0cB4lvfZg3Ltc6XzV3D0CMtOb3WefE6LctIkGPTherLny7SV2ZFFUgFJnBxERmbACHd
fQFI8zjb7gkwXLJjOPleFYAy50G/J076KkPeu2G2425y/flc2CyCohszGkj1fTNzrwuDlf9jawW7
Uq9rnJ7PdO/VFsLifCMYqNKP42nyPHbJkFvwvCCk9nxorXZf2MtumpEyHZScS5KIfabLSI83l2cV
vlRMC7Wb3iDK01Luuc/nils8qevmwDCUvQdY3KZJyuoxihJjx3VTEJF5Q5gYUKMStrLxjNDYzFM1
/vWzKfd7RDTvrnYMJrMFXbhNJ4dqPdLGWU3LrhuHsjlaERremjMPnfiB80A7zlzEsTnCHndPoqJZ
0qX8q9cGcKodntA85JeYASeI3CeIrCkYtDNfb/c1ZhFgwHRsiRAHeLF8TEOL+LI35nmDd6PZ4niz
9+jBcOdmEdcu1e4+ne0He3K+EgmPnTW15JGns79AvwQAceCpCfTk7vsKLogbcYz+eNw9m8vHVI9X
MNgFSo+TTphx/UNPtXtyK/609n8uI9DXIK2jZvdcGib8+Od7PaMPoVo8qPvK5SZO0ECsc2Zwf3iG
P1cSH6+CL9Am3OlvlJ00oCmYaL/vZxFZEEdaJpbx+AWX9GXjpS9Tm/4peelzDNkiHPIUO5qLJEwg
lfz0waq8DujkZ+0+iOLm3G/RmEWthYC6RE8jBvcerkaOEQTByeJ7zsZ02vejKEGNViQK99G3OX38
/cryeSVb3hLnEqz+lGzopj71Y0oD27JnlrSlkvhLURJy9s95URIzFsH38YckrUWY+1M3hFegH/Dh
AHWpaZxP2qlOUr35edLs3ci5rAkR2+QGoMDCJ9HCZNCER55UozR+KM3smJrOQx3ZxqqnOdDJBBz4
wANL3NAf9v9FyPzL2/KWzX+584T9oSL84aCm3LGcAido9rRAkDakzJsIBET9QD216oBcQ92ibZM1
T6oty11T8BWRiYkKCke3qEe0HIw+cB9JoskLGNgOFsZBQOjnUPvVbg66NcfNbNG1b50jcJ8byVig
C8JylQVdvDXaYBvCIlk7cxCuYfJu0kWom9ikPEiT1cfKWvZTtYyjqdGA4MFzM32DWINF/bEoXT96
wfFs1n+oij4HO3PXLuJroocVPA3X/iyBJpBpbJmllvuPdga5HsHaaYMeu3iGlMSpWlj/KmLanmGd
6IE4LR8TNRKEtapghuKgbvJpDs9Alc9KszO2GqP+tl9GTXPCIKchHPTEFB9koYt4KMj+2AIUv6pA
HVAWRLkobaPjNj9Vdoz/aY3WzGdoILBXeeQ8IEMB7ujUWGMWChmWVtcj10rEWFKMNNrVA6TP3z9s
v978tC08bi+J2H0JYPu0sMWzKnsnqPYAXc7kwIVZkATkyPypYfHRVPzxPMt35iAL9xxE0Q7116eV
BuGgzzErKfd+jpAmZlRAJOq8q5w2f09n4AuOg5AjWgRZ1dgRQZrUvJnOm9Z+RhbcUIZvkqk3IHd5
wdGY/gpT0w9CQrGMWXPm3UjCLmqFnF2lKFcMn3Hf76/W331paF7RDGvaLvoXsXXOsFeKOSz3YUOE
jkwtmJ7gx9dZw6BmzGiaqqH7towYP8gGXRW+T5n7hxXr1wWS6lUjwaUHROvj892fyq5xSiHKvWkV
35VH8A2XAdFVCqlimP70avLXSYXj0EH0OF0qgaf+00lWkULF+VaWSH6HYJeUxbRZlLyg7HAdikCj
eWIGNbfoAoHSBFfZXDwXY5Gc7AwchmUGb6UrplNqVfOhp1SjFiAx3cpoPRpkT51II/xD3OOv+yjv
WHN0p52/dKk+vWPAnUSJjjxajjHh/2rKdmMkDO07k5Ej6i/wHmb6hz7r38zIeDXuCNNjqAMK59OT
lHJ0gEwniz0FPrcw0HFm16O8iAtrxKbfIkEKiHITSXdsUHScUzrcfMhsKCmNLR0UgqZypu4+2spN
m/TYqrQSZ6gRMCkyACoVU9kQ5MxG6fZZzowoPmQEuWDWKGl/7lpnWc0ijcRpUSxasotuEoaQ66xQ
uDtnx9oHCdy7yFcPKUSMFYZtF6OTDWYfnd4udJb5lz94ABFR81Bu38C2hv6xyAGLlJAeZKowBuN3
O2p5uRGysfC/KANQbFk2AyRXbsPfP3F/u2zYirYNF9cysTn8vECV7hyFtcWyEUxteJ3gqqXKYN1g
xNGu0GIV7IHMhYHPvKE0o+Gv+aLzoXI3Qydxktn1cOZMyCo+1voM8+IxmqISmVFT0uhr5cuHGtgq
Bal5CJwJeqnVZRjzJfz+kyw33c/rH+AiThcYgKQpadr+/EHqwEK1TPjinoQesk2IZtlgNeSRsMKe
+EmPasOdsxfL9Z0NoJ7kD3um9esR1pUUhorqEHuO+Fwgeu5Is37Mi72ZIjwtZD1eiwSJnJsiHlOV
Zz3mJQDgSIXJsaOo2CQWO+RoIP2ih8ioNcmrTWcSghjM3KbsXYgwHTST9mR9MUUHSL14Nhr0Sh+S
PdQAwkAa448xGVbgSXW5COg0urSYEdHezBZZzLgooOYyuqmrwXo0U70pcfnXvYxwreKJnRabSBZ4
7/wfnSCk1+9AptJ9Dtt9nzgodH//Jf3NycJlbCMoaqlqGZgsV/GHU1ePvDWPh7DYV+j6PjR1mcUP
lEBEWeJx3M5tOqwIkDqOZmKu5ogTgx89orcD0b0oF2cT4lFZk2nHbn2TLutbZd9bMbQmhhFkb2Bq
DCbke46ZTfvfv/tf1z1CezlR8NybtIo/jxW71igbEEXF3nCtJU2NJhBLRTJJdBeLgCP1sz+ser8c
nmGtsA4wiqAHTT/AWd7SD9crFI0/1QnDU9Rg0BvLFhzVInb/kC82H19vh46yZ33B/IDPoluUs31b
uStVjN22rupkq/F/rHA3/Gnx+LxRfrw5zbmW5+1jCPTzm7MnN46NBLx6FFbQtWrew8QxAirIuEqX
q/L7y/83L7c84ph7FIAX8mV/frk6KTXwZIYdg17uWgBDk8GBymq4d6gd/xoi/78G8/1bwtB/oaVT
IDBZplo/XPdf0Hz/Fgv0r9/8FwtI/oOCnf9Ky5Ya7+MY8Belb2EBKbpyTMAdJkiLwfMvSt/CAqLC
J7KNJo+QCIn+z8bJTy3UPvyMrAsL28j6T2ycHy2DH/aDZWYFCsjmPhEWHjfz03kBPRlLXi4sjvfR
e+fYl06t96Xt3cc+zFbySLcw60em4/59BO6snG2iPEDye1/CoUvZu4NzP5wfk87es+cDX0H3fMEm
h7RZ0z5Lt4Hfn5DTPIJw34OK3JWz3sdzfTDLdRH6pBiW56Je2527swd+L/UaiUMHq0qPia1u7Fpf
alvth8q6sXzB4P+jATAG4W4qPXaN6s41yrt5RKUBY8EKi3WSmau0fZvTuymgBZfNez3a6FWHk1O6
xy7ILhizX+bW+FgqhsNtfk0PYFtOmNbQ6cKWoBnm388onzaub903dnCoh/gq8y0OI6EHqFTXh9kf
gLwE6U0bOAdFZAzEpP5LW3uIjOrn2OKSBaaFmNo+gvojZKr9agA9JsPiwkK2/MOdd/3Pb+t/CH64
LqK8bWA4Ll/SL18iwc40ULjPON7+/MhPDG6a0DQsNBzVhn7rx1MfDNWVnqYrp2ZZg15HzotDfiI5
e3wzv38Dn8c5DCMW6M9iLqMtxcBgWZN+WH9xPLmFJ3G1ok5ENgPcpqt3owkwop80eeehvLJ8kgk6
f76Oq/mxhxh9oYU2jplNheysvk+qrXezXdvIiFW0c4Sfbf1ivhjT+tARnrwGs2ocTYBQGVUac0CQ
38ANJnwxNcdp2h/bgSIE1TB5EAXRHL6nzquRgjnEarrtGvl1GjCvD+NMgES0nxv6qTx7TzjmzwHn
n9y4O88r0o2Lioyhj+vzH62R/3YB/AlU+m9/1X/nMskYc1Hh/cb6Xnf569fwNf2f6/r12/cm/NHw
zqL41x/wl+Pd+cdCa6PEU5LYC+qK/3O8i39glyTHRgvhCDQO/1opvX9w99n8aomp3aKk/9dKaUNB
NSGa8sex+7Kc/icrJVvnz08ZdaeHDQdjPX5ZV6Nb+vkmr8BnEZuL8KeOoiA+gGJOrpxGd+1G+RBL
VuPYpTHhiDlYCKesQyKS3LyrNoUTyiNnoXjLMlyDss61fRImRsJVP0b8Held9DJHpQdb3MVouAXF
EZzNhY0fUNfS3HKGU8FloXUWgRqbyhdAp6T9FiLK6xWDuAAJTJA1xKzwCR6bgWmIaJ3BXLllv4Uy
KlEDu9ZbOU+kkPuoB+jREdmQbnIZkK0zD95w44kujg4jjPd5LccFalaNcY3jeu4xaPT40a6VrHpC
gcoSh9ykRXAioNm6YURLtnRS9XA/iScsiS41KoIelJuZ72FkFjOqMnJlN5ZlWLd56FvYdv0seK6w
uSK9c/3pq7KN9rqMU38RpucdBLpy6FaqtvrXMG6IjHd1xlmmtKMX5HHNAdIVM7ehME1qQ/hoQybt
oxCQNlROJU6oZi7tlcLTdd/acnqmZUAOWT5LMsCkWUQH6UJbQmRUJwjGpjgjfaxx1ElmYjixRBjn
KktRbs9WNF+qKOvEnWS8RKCkNVXBzvJK5T31LdGEU0Vmzjb1TPrQcx7IJbVSGEW6SoO2jo5V02jz
Ctb/QFh1NavG28XYxdz7BhfdMkpkgfJxsT/T78JyDnSdixUeuzaEUpOXw5Y/xjpXnlWRYuCC5xJ4
LQM4K2EvrgLHpdtoOEShAPSrNsIngM3qzPG2jcz3eKqmbZ6gNh0YURwLg4oA+RdRGZWQWBpBy/eT
P18yVQtXmYo0DjGLLPVETIiscWmRIWIPWBW8zrnjMH0c4FBhADd8j/CFLttasX/HVBTgZto/yVIh
SrDpfHF/oHvW30SWHfO+Pg5jkO+N1MyWel6uF6vHVqG9OwVS5Wc2t81tpkrjaI9kkcWKFAV2MXeP
J3MhRpRnnU2DOTAsdgDc5LPvntAWNCfXKlDP9ll1kYYkaknTCr9Z0Kj2Lszwp6jVpAipRB86YgEJ
/ywAcXpQsQh+Cq4St3S2Ku2KW5KZikt6Z/RkEz1vZ7oqi+7W9B+CdLxLWkIzgBAGx6kbIJc6Tn1W
2qSgRF7hb5xRGSuriIFbxOquIuGSWWcAsyCQ/s72U2tr5USOIDtlG/RRAYm2O1X0BEGIh4ik4kl3
92lYXoOdYZphzpDdsOEx+A7bKz9MSV2Zp5YxI8JXTVxQoeW+r+p1MPW3dCpStO7GXZ6X37suuk7o
qa+0j4svbVsoQHHjEB3KUxa4BnpmfoZ+ZpI/I8QsWYzUvdVz/08ZwdmZ/y0V4V50uXfNkMz8XscR
d3pRwglzOvSINhF+nkESYzK+O3l73tE0W1eDwTdfqoxclmQ28E8EBF90LS1tDfBCpQaYC3QDRJo2
F3FISE7eZOmaDhN5Pg5krHTS87PB+97FMdCskM7cHrLscHLDBOOMawx32DDu7NaPz1KdOVjXUhJ8
h5o8C2u0toka85sa0vhWOHD8af/Nl8yqOmszZSO0QTiJOJ6NvgPxJRVHBisPNhPZvT1QVzk9RnFL
jIzyh0vPS0qiTxwiDEKtv7ZV/V5WioiKzq3ORttXu1DAm0WPA0U26bNr7SEnDdpGno0I6N+KMicz
DtkJH36AVWy1RJ6QoorOUS65vC3jm62eKvdp8GTwrUx6HBs/7Kp/cwQE7/15d4IVs3TxTfp+y8T/
0xmwKAjAAkxPvK9s+nbjiwF+WRsV01WDFe+BjEOLNa7AgDWoinzJvO7z+5xMAYRPqfjWBZUXXyCQ
FGKbtJq+tSSIGQ8p3z4eJ8E2NZgDmDOOU2hfaOpxzM5dER51lxHtN4I5ISiYLMHHxlbJ7YRZU6Uo
M+1en4NidE/z3CXXoQtE06pKv6G2UAR9tLKF96TkMlMN7aekAVnYk+yB8ploLb0iYdDFHufg5vL8
pDkOgzPtO9b3c9jQ4y4NcenNqh8PdFu9MxhFgLokY1lFBguPvd8+eqRSbagtMMR2aGCZQpPI1HIO
oXjRMd4X9i34ZIhoUXyv7cGbp4Nr1yRvotpASbJH628zxcGhfKjNSWcXjhW5W6+2SeLseqD/jjOd
NY20jmlAguu6tkzjNknscjsWrb7KpkZdNyoMSCaatrOqGf1HJYFY+byQBGIB2czLIP9jxbnCSQAJ
zygVQZxLpDEB1LuwzQknNGmSlWZIBmbg3oXaJU0aI308nfde+0rWMZk5GLkkctrLMn7rewQwhnAv
CoE0QaNR3NCFaG5DM8FeW3DhOG8QNrfQixHFGofc7KJXJu1YXVJEyJ1DoIWR38qhiy5DPwvxyCj7
uofP56CrPLKtJMjH7PSxdkrSAxrkrcfZ6ZANTGXTb8sA7yCOq/w5npYcM1m+gYDX6xqC2krPkAoE
9+ZV5VTiDrjeV4f29G0R8uQxuegum1Y3wQ66VANqFq3FfFziCoKzvIf+/C2drPIZKSfyNpc0Z2sP
DURflnPZSxZlrccnbx5JhvLIoXidoFe/tD4CiTvtGzLn/TnVtLZRJL8IFYSXbtmqS+LO7bch9p3F
CYkQOCDr+A2VRoMbyCZnMRet3nuGSeptCKRNZrF9p5TRflV03FcJYc93Mh+7cEtgGwVn6pI2U3X6
BPSzPnVFR5aMj5D9C6TP4NYk7vQE6p0TQUXeUtsNwca2xmhr24Z7XyFSIpVJ2a+cahOH7WQMxGEw
q/QsIjwWlzHmQ3PVpEZyO+TVMKxRqCsCVuskAhqaLvNQiwNHs2WxK6sdAWrlJmDFYlpez121plcW
XMLu9ricMmbbd3D70DWsbqcizp7YWqzvXWF3B45eLSA7VSDHLgnAXWErJPfO7fJDOXkzq5+LJ3k7
0Kd9tDXWtmRK1GVhZT2hRJ733DWIXqLMQupU+8HtbEAwg8VX53e8jeRezDPfbkVUBrj+1Dyz3QFq
eGUB09QuofJhQgzGuvYqEk39otnKWr5MGErP0ExhMjOnJCYsO3KeJ39478vOMAkX6PuDMPMdqZRs
XYOO9T5JpvEL8zjiBf2RUdiqwdX9CgKgvxNlaj37o2ODQM96Um+CRrogkPH5HhB1qS/QJU38srHx
QghHfBsJ33stm2q8F9aiOqNPk6C+lQ3nklzogxWbfbpFPirJCCySbkfao/21s634UBpdy1gOqeu4
1V0CPE0U6D3X1thOX+gZGJdMVbFM536svJXM/eTcsOLqZHXOQMSZ7L+ZWY09y2wb94m+OODP2JOG
Oi8SGVBpkFT0LLth8hm1j1G2Lo0aU0PLZvGC9Cu708SDHgcfh64VMKfGrmihX7N8Ejy1x0lsNYDQ
O2PRg4dlTv2YkghQZdNKj4P80jrllBxGawjfprhA75L5aX8qY5CUlfTxGqaJ08znLmdsU5TJQnFk
edkxaXC+Ec8hLvzI7s7CWNZkTCo5P+KuleVWtIL5fzAaD3mjw+vWzt23YhTtXS8oocbllqR4SkYy
6LyAh5DoUHSDLkW6ta5pc1zgKxTHCKQD9c+YDcGqbYMsBWZoBdc4rICtm5FxNcUji71jhoxJxzk1
3lvQy7huM+mlQApMfUlyFfo7/Aj9qcIP/DKHSr2hEJywMsey+j61QXIUle0n6wKPyHM+IjrdJegS
wFJZ1ruM+p4kFzzV26yN4JFUkTNufaNP+hXo4uqRtMeZwNN8zLYMD4BhsokOWy9xgfTBExwZI4dz
e97UsXeFztC75frkl0MrOHXaTf2SVYPYur7K8w1SelmuR4hRL1lbtIQBum1Xr4k001sRDOOxtoxh
iYCE0BlrlE/rmAEFWOlyLK4sq4yuukgGh8pQjbsarEAd6jzSDbDStMeTESetXIeRhaQrr1vvEW8t
oVm6cB4ExOE36hhVEEMRWdaqIqxh4laI6st6Gic0ci1W1akenqVp3vVGW91nfUVmYce85woAjllc
98kYHvpZ6lcICQ4/NaVktwdyPFYEqm2R+zTPXaWa9zEw3WxjDIV7V5iYW2crDh6JV2UnSnrCCLM6
C1FOOG5IYCdg2B0HYbicdKH0riuN/BgiDkPtq8KHurfl2ZTTYDpLwPXEe68zekrt2h0uCcmtrxwX
9xd07xm0SzYS/2Y1R8fu3RfoY+NdzXFr3AgoDUdKJTvYiVGlR3RXWb0jKiPbzB13JxbxqXCuKoF0
eoPbCkSr2097E5z0az/l9RFwCwGFIhlXg+dMuDFra/CoJ0tOYCG6wmDlVcZ4bdRDtopSPXx1VNB+
C8oUXGMXu1mNP7tfTqysE6+UswBqKeGdNTquatPnhqQBoQeHY1E8PZIgT++NS+xFOMbLmFq6DEEi
ETHK8bfiwSYHsp/VxnDc6hjPXXtPRy0WoHNGRKmgVPNgHwA9WdG7rk4ukZAEs9sLZqMbn8tC+clV
ZmQ293C9rJtlZE5qw3pOz61F73JdImzvtz2VcLQfK2vifOEUM3ggTkUMP5bc76gcuJlTeOxl1QZf
53pW541LVt8WN96MFzsLkoV57GKpjtPKJBXCn6azIe2N4AgbrA63WOxJZ/Q4tpldnD2MhI9918ng
Hk3Dy5+0TsJHL++7adVLc9gPpiGOhUALaUOIJ1A2dKEF5917IoaJiphROW3cLE9JJmzcfjMJUq3a
EYo8W1K1QR5MHWdSjGXSocwPaKYwFHT0Vwt91GJ/LvX97EEHziVFZODZZw6WpN2UogGHnDTf9eNk
XqZ0ZzbSWMKgSO2c1hH009vG9vyvxVyikdJ1dZea48Se3ZCS2xWtQb3Yquh2pimFxyVMn0iH7C/T
xBrvi9LJmQHOuEW51uZV5DBV9fLSPzWpqc96Hvj7qeXoXxvpdAicERBfNObvhevkV1rW+p7bnpNw
bJ0J9FLHUfjtc9D21nlmi/ncmQWqAa06+uYAD7JW5XuZEEHp6DvO5PUNUp3qHB4N1r1OFYeEuNUX
k2/uzVfEjlAD6V0fWfXGn0VyUXZ5dN0405o2lbVCu5IFhADQZ2h8Gby7VvjgM+g9WLrcZnXKuMDx
hnVBnbmdlK4vQLa8eIQY7qukGfZe6NVb1N7ATWysgihenzwWLJSh5XDUTfRVEEK4dCtgUtYxebwK
upKW3ZkM/ehgB2167rux3CDgj9aBGNMvKEDy08zkYeUpSgR2h+aA96w9oFRzNkbrxjs+T7NzIgtE
PFjCgs3z92XcL4YmBkQIk5YpJuMYIeylyvuhkW6w/NLULpyj7CPJsXM5pbmqCC5LUp+HteYWmtaY
iMSqhAEMS75zjvA3/T8ag3/xqKAtYiSkl94q/2Cw8PM7qTsf3z3B9ceJTJe4b9o3VK0DCLXe8por
182FfZ2YUEW28KKG2550yHoB87Q4K3qe79DqH4dRavpkk6yDHZm19M9UqLPq1SZ/2tpYjaGfKmAF
1/hhuPK2Sp9dwqppSywNuWzoxZuTjzm5eFSNT7Q/DKhJrbqT/WB8rUMCOkEmBA+OqToHJFQQPbeR
WjzDvXXyzIimAFyaJ7cOuFGicLypCmDfGzqx3naazeQcQku9UVOhOEio4GqATrBucRreOk42naMn
UacuDdgOCbLaqTF9lqowb1oZnDmDcNdyaVo6S/uS6E86magBWSENND7hlparvi0/2p7BRwsUn6b5
TlQf7QBpVc43x7Xd61En9S1ZxeKJ4XFVrSp4XbS/lgP72OoODGPgRocI7fMDODPu0/TjdC8+Tvre
x6l//KgAoj6Zvuq8Zu1EvH4Vf9QJoi3UwUcOtmqxlEtcoEs5QTfJfsV9lK504rlHw5cPaJu7YznW
AUooLnxC2veKrPtisRpRs2Ajonxxl0qG/Ed9gkXCvy51jh+Obbh1Z/bnuGAUE4uBimipjdylSiIh
K9rUZab3sqrpUS4d0TWrifEGRJ8ia1zqrXipvLylBpNLNTYZtLcrYD7Tml4O5VrphXK+I2g5edEy
LV+1g7Zhk4NtG5+QgnKRdJHqy3amvtwPlk0vnEZ6+Vz7pZ1/M0K7i7ah7oJ30gyK6vr3z6v8PHpj
0s7YDdCPlswnhCs/2S673I570D7dMeKsdSqNMYDxFZEmWqvkmGeme4Rang1rvyv87VgXV24KdT0c
C6z9hj0ACmiDim7abAQbOgA54cFZMtxS9RT5xqJP+ozbpOwJHlfVnTVAwykl+eTBFA1b2xmv8Ahf
DSAlIK4Mor8QTBpbBgqj/5VZP3mHUWkfbZJzkdXqkZa+HZ8pW9yVKsSF7F9D8oRh4Qd4qZS/E2Zw
xzOuLoEpnCjMoFgYltmz4pkEuNKvI7y1rlz7EEaVBk1kc0Bl7zAPfemk1/aScYJODxtuYengHi1V
vg+gk22DsTOCVaEKhqaUbc0li0t17dYN3CpOMu1G01sm+AySbr/VY5qczZWZkRomAN9QgJf5N6dr
cFwlbsdBUrfXEkz44xwM/qZQMXmXek43Hib+DKSF47+ETBVeRj1l+XrIinrnt0m4j6CZACz3LYeZ
RdzuYmcKDrmreeQse7D5fDUImCmL+2+Z73lsX53p76mE82gzNt60eLTxB6+crvcOtln7N+QGh28Z
eDQs0wGIbD83bkc6I3QKIuLDGAmfpTGmJmlG4pLW4sxdyaEzjb3xHH+78cUDmbnlj2uxdrj5bRLF
S/ysLqsHc/J5AnDjr/qhpWfGJCfc2V3HljbrfjehLn7ppYjuCUGVj1WMbxlMgRmui75iaRqH+GYm
PWFT40U9R8WMHdZx2m3BrAEFIJwnJxTxQ242iCAJdEPphKXAOosQbqUUMbZ/gSzW3JOuavJce7G6
KLPizvMAjhMPwdnyYyfCl2nd2EYdnIZ5TMngqE3SQ2LIAu51nizhdOUyRBIf8yTRkpGx9j/mTOYy
cqrp6i7Jnsskym9SplJeNMVw6HL5Jj6mVh7zK/kxyWpwqe3wjjiP6cekK5eGoVcY8hfSDat3vmF1
K1/I5k2jg7JsEVwyiBZMftnHvlndMNZU39KFGr9M2+LFi7Iq65G/Uxko+wTcsz7WKYDQYdDiWMmq
5VxdWRTXnUdw7AqEXxIfYtdusK7QwNCbmqj7c9UpzhPVR093XNq7iRbPlVtqd9UG9/AUn6N6eUAk
aQ+jE51V/oxqq/ecXSmKbnnX0LCYk56PISOixij0gWDQ5vX3C9WiT/xBIcAyJThYsEghXkQWZC2z
zR/OFWSkdwktUefoBTB2vKsqqS/K/ubjRf4/jLnvi4y/PoeN/ZfOuKEWoGf49zPuUzQX9Wv2ebL9
z9/212Rb/cPC1YLDA5OLw5fzTwXQAnJfwAg8eujRJcLmf821LX4H2iD+h79NOJqN5S+QuxT/wHBu
o7nAZcfvte3/ZK79yw6mgU5j6kaxx0gbAdCng94omhkIX9Yf8h51DfrKcj/oKtvXsbhUuOWOkd/z
vAgK46D7Ln3bPwWaTtUPl+xvBhjeh4D7x1t0eR/M8LFUYILBU/Hp6Ku8wChE4fcHnoj00DpiZ6kE
ijzaIJyT50xAK/vah2jYRQtUlAbxSgb+KeYMsqpqdd9VkEflYWZfiC6VmZ+rGEl85LZE8sB6HGzn
vBQlFQcWcEu3N1M3oU5sqpWGp8as52FoGIBAHx/9HNkQmVXJeDUkkH8U3Sj8/aSaPVlZcGXEZQbw
PrnvIlVvGxW8Wk5SbEy63xvNuliCzaxp/vNCm86FY8Ey9dw05b2a8KL7E7hfdT14bNmWlYQrLmzD
JOQ5tBkWBsVs7hggrorRJhgwEzsdButJngqj2NmVAnz7ZCQz/dX4Dpj6GXDdg1TOWc68GLIII8Hq
jnysF3DeZJ+PySXC9G5lBT1iLKtwD0pHT+iLCRWZz+xRfy/C6OCaX4ibeqBzzUzLORF0dWv7Yi9J
FKLrsRmkrFbS4W3AoFpPXbJdeK1F2n+LKmUjg1ACFIn9Lr3ZPzZa0puZVcaKiPRhdOZzzggnw0Vm
C5gqXQ1Ccr6377I0ONbmbZM7a3Ah9ma2hrtqDK6xldI3pFt1r7wEstu0hXPW2sNZFauHDFYQoRMW
PbG7Kh/f+8w9jo35MgMOmpDskjFfPgdDtJt0dC4rpYFh0ELwi23reA/cXquEXDt03gBZUBCDbtpO
Zn8ZGP6zX87nva1u64XWPDrdg1CYGsW3IssuG7M/7/qRtnpHWMfInJZpAMAAma8Tn3PH2FI7tmtp
wSAwKRMIVYdCZz8wIjNXcO6/FfS/SR3ISPqIM0bVCO3j9qvZEk3jmz6I9OmM5ueWtjYVXkikj7i3
sienruerGFXrUz9n501i3fhj3+/daekb2cFwRNe3QaJ9Dkd4Y1f5oQ2TZ7vzvydGcZrmq1I/NFaG
vr4yKDpK84adlEPnMB/J5HuyRD4wHC82fRySfuJc9CPaMZt6nagZa7qp3fKEy2Dd1CH7rDUVF9R9
h64TwaazadaOPtq+mKwlKln6rqPGN6CTgxte94G4yAsOA96xyVW+htK/Yjm4jhYkNkEITyWU+Tmx
3/w52sYDUX+JIepT5YmaJydJ8dqq7UTQYOMCvE7dXZVcM/JfD6W4ybKM4BNrl5rzIw3CQy/JvmrD
YYXo/8kgu9Ay0j23hrMx/5e9M9mxG0mb7Lv0ngnOTgLd/+LON+4Yo0KxIUITnfNMp/Pp+zArC5WV
qOruWjbwL1MpKRQ3SB8+MzsG/evoUIyOimfSHzj612qwHqQtOPjOr8loe5tmEF+Z/Aq6mdAYZg+u
NYeMYroJu9vDdFuXcyBOY6m24CC++6N7tyJmaW5s30JzUKsGeS8J4yOe9o8ya47J4P2oMmqAyaoD
AIIValfFLsvLg1ea6oz2TEZcYOSGRvnEYLxbz5F5i8GCbUvr3vrz2uxMPnlEudg0jkGdXIqkVBsk
aJLx7bhzNQKm4Xt3j9Mnzbq4E8r6BZvRfsRXgwdRWky062+VF25c7b8VzG59foE2oGyXQ0fY6Kki
FNy+irm9RWX/ddBFjVY+SAJrwdus9LNQyFFTCAq1P1VxtBqL9oV52m12mq997n3Yvc1UKjqbevja
6OxLpkWx72u+D/KI2qi27YjMKRL7SbvGUxjw8RRkoRk4PTB4p8ocuOyqAY6JM69NDyJQR4VUbuMP
ndv6l5MV+3JIP4MYrzp6BpNWaV8aROdV2dTT2mqCn7h33yaPjC/jmS2q6q5xFrSdC3wbI0u26qzy
EMzhpz3A5Wu6kOevp7Tex7Zgp8arzY1/4W5vecOuvba+NGFJbAOCjVsM5dosus80E7wYOFBkr76C
LriDVH0xVHA2x/462+a46rg+7Dvos3YVH+fY/UlaGrm6hdTLJO0887EaUXThXLjDZJRgFGGWr5fw
v2G4wVq2RJZabKsOgwhevWOP/2KLKHNvawxXWsaUE6fGxTW9Eu5i8gM/xp7eqyeg27Ccjfixy4d9
I3ge2oBPMtu2vrgMoXOsZvdBdTiH2gdf9usMRuShwprAjeLB974OTvYaFd026ds946MVAfh1U7EI
mVW062W0r1t/U1cfsiuvRSi+jK11nPJw0+fuSXX9QY01o9JyY4G/QHn0j2YyYf9K+1UmnptIbYDa
HjT1klX/RTOtVyo/hDzpQW69D3l/s9UIqINGShHukz6CottFh9mQCy+iffGj/rPNuENIl2Jmv/0S
hO3Gy5muwokvQ/ug8uFsifPE7BqHUALRs300ZueiJ1auevIppOKVNzxx9yb5s9aneBTbSpg3Of0q
RgoZPUA9KZgK0/lFQBxJbkg3Q26dOL/hjE1+JXb5Q8buzfH7q+O3hySLX7DQbenUo3mqDd+DFN7t
8KsnKN5olk7umDiCr14z8RJW77wib432HkT+MQZAQMfyIwbv1WXpeTCHmyCo7hCS3duRvICu+QKV
GxdLxUhpug5QwnVd3Bqv+ChiI99ow/0WiuY6DvahmvSFW2ZBnbezTkPrUDgdyI/hc5iHd2jJ2xzX
BnQtJunlt8LRJ2nASY1W5WTDRKm8lQ+lvCMtXuRWt04Rf5Jnu3hwWBQkWDOW5QEWUV8AaqLQjmZL
5VzmNDgqO7+ZYfJzDEY8U3GCRsD+WTFFnzC55A3QePMCRBjlMWzOsZs9thS1qtl/GgpmQDjUkqL/
Ki9lfra715RImNNQQNel+BS6A3l/GsFHsiuJYOo029tS8m2ld8BI5SD2+aQOiJI/CGSeZIII2fAB
tvbZLaj38qf8GCIwxV1+cicIaMJ/a6f2W9gM0bZ33QI2uHzzGgMrVdbP62kRCehheVTM6de+7CBg
miYHmwqZohqdNeTzh4x6bEQwop+ud6+l/xVB5bsdDV8ohNkTgi9Wwm3fiFkcKpW+paLdAjNe+/a4
jycOM/PLiGg+sPDSH7B2vOKpqYkkR91eW95WjMbaji9YsGlSkNOZySdtNdU6VL9yWdCL9tg3wGIB
29G5dUtRZBO98XOxnp6mWe6qDixieWuQwzcG2SlkQ8n+QbudOTwNbEUbzU01Vfs5fI2F/SVW5lMy
mKwHwT7hNposldx44hL3PkMjq9vhPJnF42jdC4cHCIbznHwYplxNjZWtqgFzQPpNqf7gK/uc1G0M
6Xh6mMIOjmbj/wrLN8m7qav4QWH/SqG7RiEXCVwHSX9OLB2v8uDFJ68ZuP1nQvbHNMNh40Um4wbO
D4MhvmQ9gqJu3po5BppvHAf7RAgZVjNLlsuRdIr8h4aKMat4Gb1tXGnG4EOXNaDwhU+vQFG8xhjh
1rSHJw8haZdBsCODlZofBHn6Sx34QJU9GYInm6sjCnjLGbIN+3cEx+qt6eeR/JQ3AJjs9a+yZ3IR
plAn2swZKZ+rsi05UXPveSl3h9mPMHIMDFgCb9piyDW/+2UuHwOn8E9mE3v0wGV+cQjtOnurSENu
KVoPnxgv80kavfwoOA0fcvB9DD7BUmx7kLQPpK7tYY01R24R3nhh8+RoLcMp3InmT75k8B2GzPwN
wc08FB49b4DMrefKb52dJeL+Fkhi02aZFifTEO0z9z3OxxzMyG20ZffYFJnzEvAvXhshCSSdSnU0
ra4+VaOLgm0gfpHpYI+bjWkTaSs4xvhMELcIWjL/qptLWaXxlr0G4RlZ/WgAYr7YpYgeACR1DyFu
Icj5BlevqQ353JkyXXrIj+vS1pcqsKl2iLWZPkN0Em9mazIxr0p0I8ZMO3qo45s7zdVX+nbCK7Oj
5pWLDu9P0MXFtyD1h3cjdzyFdVOmN3fsvReqX+VT6Jj6sVNhfbUUw/bRTadbW4XypN23ETcrEl67
D+d+eooQ/V4N16XArky0/dXDW7ibmpqljKnVYzuKAaD7LM6aDfNDeok4FNUQQJuapm9pO5f3IVf9
3aNP4ZYPVnosEgpOsKUvUK1EriQ9kDtcs0imnOtXvlPjRxhnHAWRba0rNy1Qq+J6XywXbLxtCQUW
MUbcLFcwXZBEvjjIa7RFpsVH6uX2tZ4GBzOJsE74MfEqYSyGdZXcq+ljksM6TXBSjX2ub4jO7KR1
ocfnjidTW8mm08W+qqxyMzTzdzRdBq+qG0g0RuNLZPivQTnf/Cb7utQrux493aQX3XnIWfYxl/vT
qUnSLdosXc3CW2NWiDcubc4ejjw03HdlNMdRp5TMWO4PP2czs9NPl/Qc3qE12L9dT7oYBLpiY3C9
ifl9EPrXIHbNfRm1Xya7erFL95iYwTV3h41rzWuZOvyL0U8ysEntm2X14bY2uneob3Kl44QTZUEv
uDu+RoZ1qzUeMyaOq0RmZz0ZxzjQAMTi8VhbjbvxDDs/FOUCPpztmw7wi9huvq7Schs2kqG26oB7
cijvkmQ12O5ubPtd2Rn2hvLv4QsmulVfdadQBph8g12cl7/qsnv9Pw87nN9DeP8YdsCAJLREfJ+7
JoIfzNu/DF3QyTgxeb46+PkXrvnJaZ6G6TYpFGAoZPrB9MvmOlXx/Mj6JJ9U4nsv9JCntzZqfLXq
/HJ8D7CifhO/vyrZ8tbo5f3xljdJLu9UtrxdqAgN+arljVvevWqOs2fllAxQKl7NYXlHg+VtJZo8
P+TLGxz9/jJPsdNRl5UZD3HEu66Xtz5Y3n/KGeJtUczNpQi7cA9WGwsU9XYUcUaZ3pRWS0UIg8gd
OmGMJZ9VhuIYdYwjVh6zR6hsXOW8CE+zLlkd5/NYyv7ZTKvu2ay64kS2FJP13Pa3eOY2Fi4rnR1B
oyHtb/JxsQ56y4poxJX1015WyVb3yVHWCOp1I7eIWiymw7KuGhhLtsXviy3NX+qgs4AC+JpzRm3q
8MlNs3ArHTt7Q8HhwsDclwGKVP6p0Uo+umFlfY9CgzZiAulOnbLJ/74JVENm7dWyM3TLHhEtu0W1
7BspxbO/zGUvaZddhXlO9WYtOw0MVjYdfprVMabEZYuEUnwPlt2pW/YpCGHyOE3VuVr2MLnsZpjn
X5MIo84qmLv5B0PCE5aHsMVvZXVvqi3Md3pEe7KuSW5/0Z5gqFUMtv6qaB/irXEQq+uYAVTGs7kd
/LGiBYIDnE1CfYVx+iq6vLwC3k2ArNryWjOgxgDV7GoubQffkCGO+FZEn27h0S8FuWrmcoPNdEee
QeBF6X//ik7LPV8UuPXYpw1R8jCVFBd3VZXfqzL1P4PGtk9FyiKx91XAfXWJIbKY4S1VK5DQ2TfH
rB9HJ4dnVAM0aHYSu3XdcltYD8g1DLwKwAApDrSV6dXTFkPRk+S2eVCG+7WlqnU1mCM3iZlz5czj
q0kmsNlM25DEYpo2L3kvi62h0naD16PAZVcSNufC/pNLzBcjML2LM4ThtqvdV9ytnIAM29maGGVY
YTGIYPfKnwLlG+cgmQjyORQPRGaWvAizlyu/79IH6fsviZW+YGWUp7QJs0MpOGYPhfkQOxYVZKOc
0G6mkUNPT9nF6PgfCfmfQ2Alv7Q2Mqyis+RUnA1b29LnlvPHShX8dsWDgX1rfPcGq3ooobfsSn9y
gT9W9r7RebuxxiWQOLv7QFaAkEplrIgWeDuGqYxVzPYTDeuRc6G9Mv0J7cNSr3U1vQE2Lp+VUXMd
C3K5d4dhDADrZ2AMRC0pdSa9TZ0jUpFhUd6d+vUuwCWKs27sdqPNu1YFzDUj/OQrI9ZiFU/dhypH
cdRWhuIxlx+elXOC8Ig25AKQYxE6pAKQIXisaK9vimJaE9zDHF8TLyCHAj6Eiqh1n3pYQ+Kw4GhR
m1zn7x5cavoIOTFpyZVf0k3/VkU9P2HNrZWCAH/dheMLf847xo5H/s8hNPvaBX55wn8dHe06NBdN
JblUkfhhEU5/yWxj5ilgQTEK/MRj/it1/BfYXZBLrYQ0iRFjo65golU+n10eyh8gBbxVTsXSKmu6
YsOpgHiKTr5pbb+r/Cv2/0sfmDwRdMLoUtxnq7I3Oit/+d38pK2KemuMswB0etoxDHjJdMAk8bVr
7XFDX7nDTYSLx1gGbFag5/BA2uYrtKyO26v1fapMZ+s16asAxo3+H24NaIncjGtMF7Elz7FwTloo
3K0O79fUsknQtppsGEhf6UG1qRkVVXNIenpepG3IQ6zi+T0Nlktm7OjdPIHBX00dLIh12o/zB7Xy
BdkfsNdiyI01gq59E31af6ZSO8fY8M2TVGF6zHu3u0WV6O8j1QR3PNbTt4j152TZjThMy4lqXM5W
5MOGq7Oct9TvJ6/lDGYbMJ/w+Bmb6PfTGSuu+xosR7Z2ObzREv03leE/Uqj+tfb0/5bC/Kfftf9Z
XT+Ln93/HzIWM7HF4/PvZazrZ/y5dBL/Rcf648/9oWN5v9lYdpaQr7DpsfTREf+QspzfHMf2F0qY
GXpYbv4kZfm/4bqkqDFc2Cm8e0RT/i5leb9ZRIeBZ9mO7/FXiv9EyrKXxPw/y5xe4DiBD0WODkoC
n/wj/ixzzkHHaA730FEnDuE38RmLJFwlSVtcpaujc5JzEqbU9bWqM8QamnP2DRP7z8n1xCUN6Cie
uCmnHgAZbGR3lGFJ303wGoOapwc2JNY9LKwNTQeKytzxcUTDxsPmEEGsh/y5k/Df07BtmYO7zH66
td35F91hlA48fChUe0ACix4H0A8+sZytmUWUPaXR6ySjYIdTlaL1wjszvvE/RWLlHIrZmyrCjFkQ
zpe8mIt1r3oGG3AvCY8wkTcCtVPdWK/sNNjNnDa5dA8FWfOCPMhkiQ0lKAZ+NfXYSPfAT/CHssVK
kUQn1rjVnf0EKvNUtXW8JtWzHir7l2cl04Mho2VOlgXz3pbtc8Jne6uSoqIFzKj3SNmvE4MC31Dn
wePDDPvaOaeabzlxsqtb9vvGwNnPLODieAPzP7Mq9snUf69tPV+jty50MP419MtRffzgWjLH+9OT
I9AbkhPbnBhXU7jN2grKX70LEjr0Yb+iNU2BT9dL+tJwzZd1YW9awcCa2pKVydFiY8zpwdDDo2F7
I4Ohbnodktk7OqLY1oyDN0lW4UBFiZhEE3PPi+UzzNIn6YzfIm/ZyTo3302TDmDEF+7Nwzy4YrJG
rgW0yFozy9sHPVBJqJHeEc1LvzhF9eRkjYuU53ClSQupn808mlmLu77eg4ONb5N/IePzSr0RWMXU
L++qNYw1ULgLmICbZKRIYOhLnGvMITXGj2Fy96lqz3HbHQ1Kx8w5/qJiSntIiWhPJ/youmvb9r+y
8hnPWL0ZiYQdPFHna031JFm1rTuNaxNi5aoJHWMdTTNtXHZz1aN5zjyMOFS0roIgAFqrFxGNofAb
/qqJfkZoy5O/fO302JjGqs1r85Vuq2Qd6NEjHUnKaIfgyCQxUNa+ISZWetaniwX9NFvhL+wtFyeb
V65ZMIJp7k4fsK+lG5IKT+0sra8jHnYTGmCydYcweA59agsi2uBWtubK6UCQveHA9+6438mjhmQT
SwjF32u3GU4UsiX9utOef88bp35wok6fUrcNPjHOSvitZXwyLIxt3ESGIzXE+ZfUoSCHeFWXnKUt
zaNM4/agmXi8dAKnHY9qh1Bk6q84k8DyNaq6S98Zj0KU+UemI4H5HIBwbi4Ugrr0T9KvwlNNZmBn
+UrtestapijzdOGCX7zMfTK9UFA1PKRmXbwWLSmCZsQCuWrrsP3so1FsGkuOlDOF3oUmo/qcjYF6
ZP7vXD1rHh56Gpu+Wmk+bEVMVItKLq4kuZ8dWxl6t7mt5E/HnRhzd/Qy/4DpWrDZ47O64M9KLmkd
qrMX5f0pjwKL+cM4mvcgmMwn5YzNlV4v61xklXylEDJEdcNZy6Mizo6hzHPBYLfDFwMcgUofsbdy
O7+GfINMhnv9mObSLA9/2mX+hfLvmMuq/OfLcACLivE6u0CAqwEk+j+v2lmGLul0M67uOM6vtdtW
4zHtxu7aLIGHIQIQWVtKrbRNqMtS2bxRpHMwiuEMZlj96o+dscsdjV9HpMuRsrMqKnMSc8dlq0MX
SmISYAM8NDBm3t0vzfTUm8VVRD6E9Sac77VvlSv6a/OLjrGN8iS9ejjhseeH3gGGW7EGHOutpPZe
2papxDCo4uYPMWUTSg/RS62UbdBTrjk9dWJuyo0s+YtXtqLLd+0TnwFFDLF83WGmmKBOUW+4HbGv
fyXL1SSbZoyrrTdb5Sv9UcFXmHYPXd7T4GjTCyQMyrP6cq2RyetSk6/vRblJzByKbUGJuhMjuBQW
PqXBeaqn/izr9jmilxWYttmvxskjr51MxNOjhFpW9DGHpqe1UKleWxJleXbHU9RWZ5Hw+ieJRkkh
fafKBEjW0Opt4RXVqlF+/F2OniI1ptydQbwCSKTvXSssW6wxVr4TMkufIMTEmxrMynWYlViS/jxK
s+CpmmGInOEDMGcb0u4MIS68DJ4pX6UZ2+c48ZtrhunlqbJ88y4zKjXWlML0J37W05m8RXJRJgZv
TNM87wHVHj9EjGdl5QhH/gQFX66nNpp27fKm6OWdCZa3x17eo2F5o/IuIIQUTc41I4nzWDdJc3bN
kv1ZdiMGa7ZKOG3dJ5kOBHwqxkn/LG9wuLzL5vJWRyIrXwAJTxfwFfERoU7tmmUdgA4dnvTM6KB2
K26OTbk8B03wjOqZf6Bnj8d5WVfmZYVxl7XGW1adfll/5mUlSpY1KTRq85hxKzyXsc+SNcGK+oJT
YzimWbF0P6j4lPdItWPvB59pbutTHRk1w6JM3GVBofcCbxtOHED87xS/y/0EgRpZLPHv/G7jNjSx
v7YYoW+ThEYPzBx60Tujlu7Qbg45oWShxbcdhBnxEdsTqcL7CTttg/LqF2srdlpNu4Usxmsp0mBt
eo0Hd1aE3byxQ2bD6Dkhee1y7uL6Czz5FruDl9U9LQVO1h+quB3js52bMeWqHcGA1dAH44CuVFKC
2TYJ5gszNnAUBFLqeBPqqWHcNHsz+zX+SZNwLbVUvAZpRWlT79wcY7QvQTx5j5OBZSgPnW7bAt9+
6ubWyyA8RIW5pzk3z7dGa+HFjNIqRDeuo28LoV9tghAX8aoVszS2Q5FzAhrJw+RrwbL5Pue0Tq0h
dlisLTpNQx4xq7HAe/b2U4ZBEG2neRSRBqKRpoiEna6JNJeHDugqBtP+tR/PPso5GCTzIoKwvrjU
L65s2PQEMRzCTC2mBaxDGFcjHNS0G0+boqrVCuOXWlGK/AHqW+10qr5bpdOsg9aBrqDte0S06EpV
sb0mIPYtEd9wF4QPoIsS1httb+haVWenokMrFeZeyIqBlvWUIkpspjzAyECXkiyEv44LbOND44pT
70/+AXsy+L3EeaBf+okMI3teYjlng/1/a87197yrjOVnhNyjoY22Ut3Zzl9nq05+eSQEj93A7Evl
1XwizKBWE8nzNysw9Sa1Gv2LKx7PIBVttYO1pDdTSiwSEf/3Pe9n2Se9ftH1z//1Pz5/YPvYJF3f
Jt/7f3FfA/n27+95l58xPJ5P/fmv/+AfFz37N+FxV/MB7nCj+xO1LAh/CyyPLhgOUeKP//N3apn/
m+kLKDnQdX3SBCFGx39c9BbapMVFkC0ejOt/dtFz/soYZKtY/Kwm4H9gB8L9q+0+kj1IGOEf2rB1
44PdZFi36Xia2pUVJvLHlOU5niqSFEfP8Ydn19JBvPWVlc47qADOa5NySyx7n7rf2s9IPhaJQVOF
p/qp2ReGdF7DTlDGrpRJ0s3Acu54JYQxATUSB5DrpuGBMWcAclAHTX02jYqoDNzDtefFMiasifu3
82BPwU7L+zXGKeMFxk5zCgYxvFP0lVPaHYRby8yzdVMGTyZdaMwGzavW1bgCSdEApezG9ntDjJv0
hNPhiOebjc9mSnMoZxNrPnuyq6mGdjmTdENO/8icFwcxtHgI7MQ+RF5ALbA3OzgyNNQbl0l2aegJ
gkyu/UclnfAFclewV1amkErzcJ3qYlw5iGvEpoqaq2RI/kb6a3t07fptrAI1IKhNtcBYUz1Z7FkB
zqxE05GN09U826xAyMGlGh+bMScgGpeVG5+bpEeWjoIRc8ukcoTdsMTvt+msaImnG04ZoCMzedrF
lsZhnY/gCx5nC9TGrY2Z5T1aYBVQYM0mag9ZarQRt7/Amo+D2RNqiEYVkspKI2vcDgMBo50zyvyd
EufGeyQ9iWnJmrnukPME6s/1yc70ypm7cdhFfjfuRW/KH2ZVx2Jd1EW4L9vBevOg0LZ0N8TxUgj3
K8SDMBiqudtlYJ+rVkPIc0zjYEzB+E4abmL2Gt2hm/ordpaeOPJUcBVq1abQTfLIyYsTqUlJaUWx
G8Ykj1Bi55bdD6cYxaFiKpfsExR4a5NXZrOBIBG8sAdDUtBIqnpTwLt9prRVn+mqn9cQAzDddX3+
3NPSvBkc4sxk0uSeIpTqwRQl+dkujLdmEjxwjFtCT9b8EhHo3Y1N5T2Q13BWMjX2JJZxbwXDOqu6
7lm7dDFLy+9uRmxFO5WpuMA0z3UDxIfGFVBJUTDA5df3laHyM3OdAMYKMxBd5MW5bVy8AyQKkxee
1uHE5JIQsmlX7PCaioSjjjNVr6po2DCAYCxax8MxHlV2CwOcxj0/2wgfbIRJhVwwFgKtpgnGqaEI
n7RLCrHA/ZUkxWOjqz0ejHzbhNgByW0kPzzbUNs2EPVzMcQd296Q8rmneu+n8B5E2APpMObhUvf6
ZzUMGHlrbReMgqP+QNdkuvNbYWTvpFH8Z1UxzOaEnImPWhNV35qF7x6X/CnzgWnYJDCPtr5hD1tv
bIad2bQNvguhsHV5pFYs3Mv5hFLq4gk75KHxYJKrYIUppgvcsuE9MjtMTV2c3+PQaR66Oi0fcBSF
GDoahBc1Rv3f4oX/Pf78v22LqErIvEsn3r/fF197rGWfmfzrCPQff/ZvW2Ng/Wa6dhDwN7ILmuyF
f5+BCvGbB6PcNv8KqXOs31ymkQwlXcIXob9sV3/fGIPf+B9Lb9zvm+mCtvuv/8mYOf5Z/XF37v7y
338mQfrin+/SwrVoaFuwymzE1KriDvznu7SMdN2y49n7OPUK2DW5r3CVehW300h4n52O7EdLm9zn
6sxcE+Irp7WZad/eOW7X75Qn1BlrOnWvowl3J4UXIuvXgW7bcoQMJ6iG3EgfOqfo6/GbTIb+aKZE
CpHoaIym8o2CzdUYeJhEQM5ndIwn5lOUWyhXfTPf8NJ38L0I1abAZ2i3HQK5wuIxMQlVB+Jv7U+u
CAzAxGICDIuEsWtoBVezH5JzDK9xq+00IbY+NLvCdiT3/yLZdn0anFI4EOtQzu26wTi5x1UQ/khR
dKAXNNrcgQh295UezGcxJ8ktq/1mvwykN4UzZWLl9mp+QDCxN2ZIP709ixKjOkCfZEXq6zMH1oyX
Mc7TfRE0GMtiussVo4WR8LQ3BI8qT4G4NDWIg8Ctv5k0c13dzDy7s//Rh+Zlrui/ztz8AFiUZjZy
+p5+lAYQOs8d7gIpmOBju5lcAeGnhU/px6DT8Br2u8rw85zSzqJmh55Uv5FZ5L/05He5ROVjZG4A
U9GNlZ4AdEFSDwp3E5UeaIhgMabIQqMR9mGLabUc7OrTcAyN4N9GHyFkDNL/QX2fO2uo1rNt+C85
2JGHNtUd4o1hXiYpc7S53sFbFvTApu3Qyo5+MYnD2KHw5PEwvuJv8okkx14GH2ZGi3YM62yKwDhW
dmN875yesqHMg7rPk9athlKJLyr37VMJs4QQveSShf9ak+gvkh+Jr9qtyVN5CGXFlLLyZLk3K6/8
GD3bvwnU6FWOXPatrauvfaDFVwqPxF4UZfZUMJW/dxojINmwHDCBNM+MYsSZMUDM3M2XG2KHZ04w
8Xk0p3LXNo5xCE3Y0VHs2o8CUh2YEObcOHwynmgvw/FnRcM1KGV2ySe3g2Cd4Q0nQWCdNdM4ICl0
Y7z1wpY2UiRXoKpJ9DOMkOlYqM6621Y+uCCF6vHT8QL1AAnV5WbapUz35/5DFZE6RyXueuhzzktn
BoZkvlEpLrdp+5H7EdC3LJ27Zk0nn9dcQzPLp1WkYMRjoIGvLbLMgIemAHNFirpaamgnBk4GXwbW
pLqPvl+8uRVsCUqn+VE0Gc3m2y4GggxCz6mARnC2dLqRgW1qQ3HFnnNjueAeniV2ck0lDUwBkJ67
6uf+PNIkcp+skamBjZHjmXic9eBmfYdjr7Gq7yYxuJvZa+IetpXaWGwa/MaTMJE6LGGciiiDlqgs
VVl80TK92bNTXqJxzu5dqzCfRlO57XMLJ3VAa4EQCt5Cb6j6MahVdAsEI1NZBMxBamIIwAgCemAx
lLSr0M+Ts51GGNoq7Z8t2U0nUDlybzp2fy7NWl0kZ5QPr85xY+P/xfNp69eaSRwcnNqJXqy2IHxo
zxQoKA7LHKzaZ6+s0Q3ckSsZbZZ7dBneLa2K7BrFuXoETTU9grlViDxV269rMCEbltStJfqD0Zjt
QVSjZOgemXTMkQnthdHcLT8s7gkeq7eGHDBhBrP6qZw6nlfzVHFynwPjWejBvo2d7b1ZUWN4a4si
rhPZVXqyaIk/cT3ikS4d5xdZS2D6lqrfvMq0NgZh7rdEknzOnAwkH2yXeetYGuszQ4A9YQC5Mzup
sHvGHYacNgUjydDx2RVFtJMy6IH3BUofq6x0znGRzHtd+N4+CPsAV3o7b2IrJebQDuF7aSz1r509
PDUh3h/+M1omVeI9UVaxL+JW7hiINFfb74Yr+tbitOeU71p28YHeFH6EQVHccagke3sySNrOECsz
5lbbYmwdfx0Ywj622VIqiGmAUuU8k0D+8+EBh1GzUUPQHt3ZKu51M1VkoJLv+GKDtV92D7XkRCbY
1UgAfdTO3ExMvMRT3AB8KCZ9JKQevzRpPv6khZiURetM+75dAilisBtr6+u5EMBQJDmd1mXSbzCC
jdd969TnWhj9enYBfbQDpLk84PQfmUx+PJruuEx6K9d5b7FlekNiXKxqPBQxFVYiiS8TaKYDS/XW
WvLJRVo0B0aM7bZvAWEDoijrLcoOJkHauZz8IXP6zsT2gOgn6abGeyoHcmR9mh853S7fixWX23Zi
KCrb9sPkdn4Yh0owK1IOYbTZ9NRz2816M7j2vLUb5e3KsBifHAPxcssoJjxMVs2YF0mV0/YUrlT6
JGb8tzntCHezYz+DNpHh7QXj1gS6eJhqPh5G0d5LYRIFnKfavXATdbAfR/XG6kp9spSN13ieD/44
zZCa7fzdmqIfyz09L6JPOYn/Td2Z7caNpdn6VQp9ca4ODXKT3CTR6AI65kFDKDT7hpAti/PMzenp
z0fZrrIzs7KzkOjqPr5Kp+2QxAhu/sNa32p2fYaHyM21HZK7RWsFy8ouoOwYVoFbTTPPGFZYDcaF
fot2E7F2raHxDAmugOLq2riL7VC3VjIfjE0G1YgFkq69DX4tD4Yo6gfuj+rCcUu1MwFD8phRxWvW
4nR0RekcWlFOL5ibcD6E+clPcB+xVJ3WQZf5t7wBGddUuHQ6CcslV4Dfs5oqvDICxqH8RRM+y2Bs
SzLZTqh29QsEhdlT3+lgbxB7Eq6qdVgletKkd0KSUsLhpJMgoZkmsCaNiPMksRg8mrVcRIHbR2s2
ndLa4jYP97mFkxxDHqbycLBQVNNv6EutySUSdC8vztQXUX6ZBgTPrbQspf3nGFiGe72hy12Jqor7
a28Y6gMNbHoz42O+ZJw4CE8t2S+JL3MRisjo3syyeB1T7i7dxDBYiHUsP0U+tfzeMXcZUagbM2Zf
DMiHiQBUjWXliminZxEJrU5fnpu+v55ZiTnDQL5gs6+LoVgpYK4LVx+SRUtpsWzIp13WTT+89tEw
vCFzfG0g3XyEOfUiy05PFrYVFNeeFsgddgbsYU4ULfPC7C8cs2aFWWLBmyxRQyUbQeI1aOX7lMdT
oyvzYFbunZh6NhkChpRgI77y0T2vwgZOSlo2AToZO9+EjYqOcZ73163ha1sfsgydM6FzvW3IpSXY
BMh49F9dszI33KPBNg8nk7dBZXeRXWARN93gpGfhgBGnazca/iBMBKm8JSCtvjBzHp3LWEzxyrba
lH185wUHshe6TUMs2L5m4fzJiLthDbHeP2VRrdZ6XzjLmiOKaXhsXynwnEst9eEPVvAg/NRkHN27
OcbGKBrs9ZQySbaBmhZLEfUOiSZ6uEEbR6a7Snpg6l5hHR237tZGPVi7bID04LdeuK5LdG5KE/7O
Hq0E309vwGAj/KoUjQm1p+v3UeoXJ6dPgRwpOYl6dqBFT3ZUt7uqT8qzjkd1NYgIsXaUO4T+TNYD
Dzr29LJ26Q4iKdYWkLkDvDB35/iYSBTW/jc3T9xL2djpfUc46Fa2ub6uUJfgAESw5VWjtWHEoYMK
LsFPJb7Ho2bM8wXVgMmSKx8uGr29sfVmQ53K6trBoe+m9aNGuiPRBeFVN2rPrKTChRkUbNhzBGDS
rZEoFjQtEGznSHB9OJR22K5r0uHqxWABz1BN0S6lyuDa8sFAd5ERqXLWE1ve6dZko4pqfX6CwVnU
fuMffugsf2PnCSLsp53nr/u0XxDziTya4l4HpwmBAD3z7MLRgALgrXAjUoXIxY0R893DbRnu2OJ6
T6PbldcinIKjO4rq2ccEvbYYx2FNtkWwDdVY3g2mN21AdTA7cpIIdpannUAwi5CbNkLQb/EO6EvP
opSA+xI9MfbVNIqaHFODaPNtCYwZaHECyS/SPgeyCFbEKhU4nkEhZbV8UFVj7LW2tKGIe8aTUIqt
AVGRS2SP5MnyvS/zxLavrJTE3BTthL3KKndice04H6nUg609mwFg070UnX1SLZNZKhRiyvJkxZZ4
XNlTON50KgcZmEwXcG0g1pB6HS50lLQBXWkYSsYq9cSxHdT2q2irCFcKmAYe7hlF4brTjOJxElmK
pDtygVXVoewufCCt+7Ci2gXLIOQN+cHddQPuYWYKGT47wER8sUkGeC2J5FuVluasAW+IczEl7GW0
sAI9LZmKFmMnj2ydtR0RT/DK46mosIMgMkECrw9fumZ4asKp2uTKjjZWnaUbe6jSDdp41IGlbS5M
OI4Mlm0QYxWDSWehbKSVquiaNSPd6HpKcp7QYS4OPv3rKYI0ApgP+eiZG93bD97Q70VhsVLUqbCN
aGzeyrClFMz6fkDE2BNtrqgXAINWWKiWLmQwrFfU2d17yZ2+l99irsR5ClOUA1uHrtlWYqPTy8OV
7nEVmXMlz86Os8md63vjvdLXQZdwPlD/95rbXnhzT5DM3UE69wkq7QSpxwEg2ybuDQJ3vQYGIA1G
/d5rMCLlDarnFsR870bU3Jhkc4uSvXcrcFqGbV+HPKxxHC3xtRCJayIEXgchKRbee8vjvrc/hlPn
5a6tnIGdmDQOQ20z4bRKNMZ1wgeXATrcb9twXspcFwsPZDBYza49WYRCbEcXURaHGP3WVE23JWvF
VaqVZ01E0a7UuGCmVhZnBpQWyEcqZYxfg7YoKIUPzoCmvgtp0qzabyV0PoX51KUMY2vZgtcNdOOR
sbO9VKjVTgSyOQ8V78GIO5+WEXTusEze+8iE4MfLMGmZFNBkAqUkw/u985TvXag3N6Qlc8RtNTep
am5XmZgyTKeDLedWFj0bb/vc3vJNzo0uLW89N7/A4bqTnBtiZGPO1tYC9zm3quehiZNPcm6g1dxK
k9Scf8zn9hr9MJ02VKxxF87ttzc34uN7T57O7Xk2N+rM88URQJnzOMxtfPve0bML9TH60OZPc8Mf
c0hnPuv+Fu1RtlDvk4FkHhJA8HF29jw4EK3yVr9/or4TTP4uIuFAtQT5D+RRMH6DjuH+Ivao8TyT
JqHStmPrWoc8ifat8F18K5hXxAzkEx6SIt1qNWNeEYHRxa297YRjPDcsmwHNFk7wOnaqP0BABv/l
Gs0J/ob3RGFQPJhueaGinPRgHd4gxVN/rmF9wk3SyoT3NDZnRdWY7JCFN7QCbYycgPx559C4bEDW
7ch3ZXqio7Lyp/wFEi8OGQbCuEqn+SBL3s+0+P18m97POuv93AvnI9CbD8Pfv2DvqpqfLtj7pJBi
GgSJcJz3JMEfkDAeyMnRQue2xdB4Oz2ZT9WL9lSd+6vmBmFefq2l/0Vg5Hvw1y++oqGT0m1YBOqa
ZFT9PJvsGbBkcHT9bSdd/1OKAKBloRWPV8kQTYI0eZDz9VgxJDeCJPxk2BPIa3Jj3lgDDfjWxsjf
EIuG8FE4VNTryTd5hgsYiPoWSLT2iNxO3kmSwhLUlaDMl4nluPAqkrHGOEpQLdoyXMX5NOypZDif
GKcsEEqcFUFhWzZOWO6cLN4AOKo2Y9OzrCvs6aMEDL1vej/dd5XtIoxPtfssQp2n2jy5QQwRHAW+
MAASFMS3oScnpvcROcFpPwBhHaL6Ac7qfH5lIn18fxv/ZSP9+Qt9LsqxjmbewF/ftczMnue8q59+
s35fP9+oL/V4/sIqsf0+lZ7/5h/9w7/8sSX2t4n7726xDyE+8H80q+dffpvVOx8827UMD2+Myxbb
ZfD+Va/sznplnT2taX5D8nxfYiNxdh2Xf2CZLnCdebz/fVYPeId7hRQacDwYxYnl+34V/sCs3jHm
Gu/H+0F6pmuySdB5OQtD2C9qQD3TYzDp47QFIcbYGqtGkXM24QjEimYrzK22Lx+5TfUUnhxplwD8
E7cD/lYHxmomzucLv6y6215n+blw7NbetKmWXbqDajdGH7bnoifMIzcK9sd2NqEvGcFjhZBjj3xD
GRb6ot/1npI9Fi+3Hy5koddHvFN5dG0rFRBGKeEO0u/GTnisHacRJLYX6RnRpD1iKRrBUULkM8V6
qPTc25J1M5kLOM09SbABsw+iWMiO173cxvbf+fG5UzYkH9qiBKZu/mTnxUAcH1SwV3447li38VMs
Daa6cxqJsVpofupjhzH8bW+XDviEXvbFokc9vbEt2QWb2qycYhNNvVUQH+NHV1FrsLtIwESTEumU
k36gUpttav3AGCB2E9/ZYa40ddJI6QfXfm1FnLGyl8MSELz2sVDw35itj9FF4RfxS8V04QJpOdmj
dVE40XEgiXBauemILC8zHYgJSV1jgio63wVAU6jnVCQ9nBrVFl8EWNy30HIQ/FI6lxdgT8bLoUdj
twBSDYBIAZdjiFwOyc7QRE8Ih9bdsE/NPptZqBGrEodBukaYqj01sHRxS4D+KbZW1cgTMmcmLsLC
qLhgmz0FS4aa6V1BJgv1RquTH8IKoiyWDSuMN1nq3rxKMNJnJHkQ/5SGABQn9RRvUcmjdUI7CKsG
Nj0iHuVr3tGIiPU2yrxbibqpTuWolaewY4JltgVWrNjVryoW0doinuKsX6W27a4TOytf9KYdrhAw
mQpN7SiWHNPJQWMRv8b2VS69gWzTJqKrWUxjPm5bqyo2hW2MG9AXw6MD/+5SD3JUFkzgH4ayiMDe
xmyPzAkVl6u77hNlxnRrFMNwQi8H1KlF8ZwYXn8dG5z6aWJHS6uskktloDJXvBbrMMIIiMbIt0iz
XQZiBIwGzRyKO9ViPWrkp2sMxFhO1/4BI2qxE1lICpMJyRClYvZQGxa5da55L02WQLrEvzjjRaru
SCXBJ5+N1UjieZ+cvc4293hUy2WvdHcVuVFzRLqgrzD2M3EOcnShSg0HsyVCN3SINq10ifBBYsXE
/mdx/RPhBycDSfCNKcgwHXOmX3zWzS0wOadchRRvb25vtTfKLwVMCtu4BYk4PRAfhY7LcUeGTHHl
IOcYyvwhpaN4JK6mfEiKVr2psI4fHMPe48tTOyvhtWOdrnLZYBw9sRSvniuRNTd5ZhkviPqg8lfC
8W4FPIFlHqZkDcQZLQ6uyxGn1xCbkPPMkdEw28eXfopJxMLFa90LUTEz6DC+1T2G1SGInWtUbPJj
TEm/DjPbR72PBONsuo6/G8sIpHtWpK9O4zOvKipdYMnV7PE6dnJk+BhCyzcRVcbD/EG4Mydnegud
vi9Xbq+n94AjnRsCYE5OEYG6HgBa1Es2GT0/p1Z1q1S4xrMJaVTbKhj+9spLU//KNB11GDkjzj5r
my9ZmCD+ZXA5PiYgGgFqcjTvTAlqH7ihb75hwEORiIVhjhNIhLxDJQPYStEFLqfUDqgNg/xF1iRj
C5pZ1A5umZ70SHaC9QChXUgRhwv69tZYwrmZNkPZQuxByEnygz+shUtbxkYMfDwF0YY+ACEv3I36
wDS3Kld1SsuD2VZNu3R07YpZbKjmapVUWLSNKLilDWrHbUVzDkRabaNiIAW7i1RziylyTpogr4Nm
Th5NmfrnILWsZ2ZmySHXJ/+j1mPGLVHdxoFCooBbNr5BU5pkIC+SaNE1tNcL30S3QdUKeBxJitgb
xmheyMRtL9MqCaMF48bwOrEH7wpRGB1YPGmKC5Fa000vm6Dfiahtb0FBpHdhF8AVipFudF3gHFm1
6jeM0/pDRCF5kQr2UlGismCp4c9eJ8ngXWf5OO66Am0zTZRWc5Nho16keh9pa3pWqW3cqIrsZS+9
CuHlKO5l2BQ3QRVTrLWdPIwok18GwLgv0AUg6Xg633NvmvWr0RJbBKBV3HUGQS+TlZM4VIUuhoi6
/Bz4Qf8CUp0BBG5DrA2JxjZrMXV9vZMj2Ap2M6lTEe/yhj2yTphUOy4uHWCsHV3cuBJ2Y+9ZcRUX
cZ+Y2C/mKzqacASc3i427TQyqKDqv9Ecss6Wte4Sio33lOetW3ps/0KOl0Vl2DOdqO969rkpA4Iw
Ez7O2FG9mZ2dqWsjUbTRhWuRQdBnDvu1yIoZSkTjTY1DhCd73dQ3eeFkML7o0xdkFDhYSxmSXsBM
r3h4dTK5wkATIOzOikNoNymkVKbBr07W+0TI0RLqS980oyPK997bCNHp99JJowee2Um0rKOyZZfi
FR09pmYf09Qlvh19IDRjgh7p4FEfu6Al4KgJpR3TyJ/0fdQ1+R1+dhOXKPba41RpunUM89F8LEpc
rKvBrvdRI6GK2U1eHLq5Tm8LR5wH3RUHywsTUH06Hmo3QJtcTP1pyhsuiMehO6eltY82dN230O2m
R72Hbp22Vb5vJjddsQvPz55fWRdOjTGcbXUjH1tRh+A/e2wkIBAtHKVxXTINxjx9lfpV8lh4hkTJ
zjXb+kxc4Dg3Xnrhjcp99qaIFOJIPoFVLbejTAbY7xYf58DC0VSX1p0WAwoOZcZG10McwULWaZx7
9l/goEq0sVs2FOlzHuj9g+DoLBexqEv4BAbe9XYCMAfnYNiJIQ0PMirUHkMxOYBtJbe+r20iZTK5
QthEHnbUdx9HMQIXixJLLlPTSZ7dsc7bBex2d1f7MBnMUYWCNbneffHtBuc41Du8pHKtlxEWVbN5
yaPS3fU9H39F/380WvcOZ1297b3u1nC68rFGJrbtrBr9m9O5nFhxZ+vbQWsKzqY0SG8jPiaP1aDj
NWDnu4t6rSOQ3jSis5i8bjgoDb7HslBlG6xzU1hPXtOOn8CTAakdOdVb1MVEC/H48RsF77H0wyXN
Tb3Ug5RpL2/zhBtd2Q3Hdpk+RwATuIheR4MueHxu/RhnwRSq5BRj1K3QzI1ghEdNO8kiukOb7pyC
yCLvVo9x4kMtNvfK6nGexAXb5lIvtC+lnel3KNXMXUyC8ypG174JCBhZprBo73pr789assnir2eN
fdkAArzI9N5ag6tlTeLp9Nx5mO0zsmqWDnrMU+O25UqTxpWTwQpGkeoDtdT7G78qootkSo0NYgQt
XLYGz9hF7wsQIE7VQynzC3hsmRdfGaxfLoIqYweiNXDWd1kStJf1RLEI7sqWD3YHXGQxtUVorsSY
a7iKKBAf8AdKssUHK3ioOOt4go32uXTYXK1MRZW4Mao87Ra+5nqkxSHqv2cD7F31I/SrwGnn5K4A
cB6H2DAdWD5UT4005L2L+PMCdBHxEFbeyYdGFvYNhx1bmwzA9zM3sL4xxx6+O0sxXOxemqPNGYLL
MrFrTtQWAzWzFvcg+MHfPNllSF/6wGG6Tb25z/ssIEVuQjixRDXT4PHOUHmajdmEpHCWZs6pORra
SjVs3hcBStBqObG+seAqB+TgqAbuHtoBWyzrydJe4LI1t3ngT+aypWZflVmeXU9Oqp4LR5LHUJHj
calch4W5SyhaA6EIErDVke/YyPS5YYrRgr1HWEzkWqgTllFVRMnboaVbC3AEPiki3YDIWAdxZe6G
kj0nd4SX7fxOeI8+Pmtoe46PWidBwc/MjXE7FIvU0mbHw6iXJHoYj03DtHvbSt09eiMTX1ZOQXRf
aG423sC6HtWGjan11iC+LLYlE+Zx4+stEnv0OEG7YmfYhNetadFypClwGoaWxsRDD0IGz6rxzD0D
awfOwbBsw4lag9P/2IaEn6ksPw7QbB85luyzLHgcRLHvHfNubG8H3HPM8NPpsZ8Ch/CvMBrw/CDp
XdahnqK2qCRInH/t9OPH4cdf/z/yc8/7I12wL0ahz38I6tMfpn+/Ciu/eHlF2Pij3v83X+DbzET/
wFCCaQQF2vt0hDHd15mJIz7YpqHPw1WL/xBoC78NTUzngw7CGAAFeiM0+TPi+NvQxBQMWhxmMCwI
mbDabML+iaGJO3OPfxiaaMKwHAvm/vtC7YdxpZW2kDWTNtylvZPNY3APzWHZB97SLTOw+KaXk1ei
5e5WmXWDX8t2DijSeXJ3so2v+nIWNOQu+X0rZ0gRB2houhrPHR/KOPMQSkHRLEE1ZgmfaqQ/Z+zT
zY2T6NawdOKMibnpIOKrULkF1JtlZ/iwf3W/gARZieBT53Zaue9gN1wi2DEPgPX7l84f809lmNiY
kqy43BZZjiNqsqOZLt818Cf6UcqPyKppOs3CG8btSNOOyC5Nu2qP1cbXlmiCLRiFpYEuL3ZldIP4
3g6WhKhXyMNVdsuZNKxkojp/OYy1fBZjkp2GwRi15dCJpFvWMUYmMtGA0i5MNBPPVUxSG/WGhqnX
S1rnPOQRiBibKfbn2NaGgxdnJMKoIDhTuOUAayJxy1ZSPWIWs0/4I7KzkxHorbWWt6O0mbazmG4N
YMrxLzpmXShBaEvMgHpN0Hm5mw5TgloEQoWfPeYw4U5LG1A4qZAdQ/Skn46lJs23Hn8kjuZg+hL1
GU4EPyir50kk1rWnRtLowyb262VGGtS9Y82JVUpl7SkE8XGFP2voF8wVJpvZ09htkxQJHintXX/P
cE57wKrHwkz2jn6PZiscGW4BMF1HLFtOrgzFp9joq209EbxoCFJfF4MeNKcsl+yIyfjMnHVWctxR
sLUXcY64aFGZdb5zaKiavQUlqF4kRt5+zBAOQq3kAfMlyPzhzu4K3KuN1eKHR1rlLh0QcpdFWUOJ
YdSWpqvWs8Q2qeLGu4YqRoxYO8YIcylacJWPWlpEAPYJ71lgJCisNVBJzdwwI3C+5PSj1gqJpu0v
EZCX01pWAniO5mUE9rV2XX5kRxc+6TO0RWZk/1xn9mB39BLZ2HAx0qyHTusodrh+PahlxOKH69eh
olgSrZCjfLPH8GzjUyVGpZHBU9aY/lsUl6Re1qkAN+zLdgfbRxmfSxJ/kCnRnHZEkPkTH6nBbgvw
cmaIMjbFeqy8MPcXPr3Ankam+axkOGDNIxtopUcZv29Eo10YWgRfqVPK+2gV0xSfeABJfDcD2ZNs
ALJ7IqOsVxIpouchQPy2qJE3l6gQiJg1kIpuYl1LrOUMOd6XIe43tFM4HheRxlR3hR4txbxYJLTf
iDTUZvR0iG7hNLpfvK6WYpU0HoFrTmojZh5a54ZYg2bfYTQmKCxTw62Wes0nr7abx5jQ1Sv4ddPG
Vk1brJCHACwqa6+7mQuKx7627UVt94gsJ7YKXYp0ez0QcI3sp/O7NSl0LRCdIrTWoiR7ivDvgrqG
qrl8xIiaHHMjscO1jCXA8BihIq6lAKQn8bYTM8Mc2RddbwGFjvIOIoQj1wwHu8/ehMqHTTs4xGU7
TnTlSTqepTeFWP79ovThhY7DdqbWbslB1PdOmTC0FbyNz7WXTK/k0gWSTkJnDgev6VKBAL/0mMYh
syos59xnZXTbdRrWxbSTxl7v5bSzGr8+R27Pbp0tOzKtPtdWQaHyp9k2su6mPtw0vk8st+LIwesf
TBsQ1ynjT68EY9nqtIRALOKP7DKL6zit7XVT0Xixdx72yq+nVzWahbscw7AwtklSmA6N6sh7r5Iy
BKneB+Uz5J6E8LZA9AdCh0zyJAenJihPb+95dwh708fAuMZGDO6J5m88aPbQN4vebUxG2C7iCz/S
cD7qrPlKPqtx8Qkxg7xrLcWHsNIVEK2gr+KPRmGVT3bV996iqmpSv4WyGMJbCGhI4kjiJF+0Duv+
rSj18qGJjTg5C7fIyL0dTQ4d4A8VEgsW1McwHtEgYiQxJkiL7QwIKUdybUXam9a+1kmRvS6rsr5k
XuQzqci9MVlBiveu6spJPw1hEL6FWl2sykaP7gKGtczKUobICydNYJpUfhwu0bM7awiPkCyC3Il2
zD9ZIGsFUE+rqwY0NKOfHlTfgaK2uzQjFrBoia2LBSgxI0BJ1bn+cOqJR55WGuiqbUcW9N7AXY/3
XqXWEtazPWwqMjMvzNpAaCKK1tzp5M2Qj3Rds2gL4CU2qKsJiJsuxpg8EpVl+Zz0a+k44WQWA7VL
8jUhdMd+iHp4pqniX6F4qG7KwmkezRQRNXtc3WQV0trzCI45Mzm2xLMGsAQO3DZ28Zgh3o2ZCjc7
R7K1Q+xBxguTb7SaHl7XjPoBjCi0qdxLD6HZs79H20qgWNT4tr7g2Mk5h2xtWxvMJocbYeAcdvVu
ek15GvCgjtq7NE/dI1y3WXwC7hUzV3vOfdW9WTx8tiT4oU7zQLnUPYh75SH/Z4zA/rtp7s3BNndu
YpO+jjuZLHiX3FUc0HAcUfV7J2VgmgARqXDuI2I8kMyWIUmNFDpMY6pI145QObFnHC4ms0LdHBT6
yut8ROo2B/lMVq/KhTEExbiECqMxwpAGCZYhApltE49eDPe0SvZThI9PxFZKmHVvXrhuy8zFi6yj
CpVbLaJSNU8AxLxVY+fuZ4mBJGe7alXXVpa6ZwRFLFPaNjeYtfv+Ag2veGVGK0h0MfKbKvaYVRE2
bK3pRq2dbrflvZ7rEeRA3v4CJuMT01YMZb1IJnTNMtAXhhM7VznR0Z+NqLX1de31xVLWbfmxrT17
ObVVe1eJpvlMMG55ktg8L3MMC/gQkzi4auyGcHcWUeyLdFBjGq1gS80lnI8EE8A8KOY8LWlFuM9t
esgvfliF15mvga9RpZMtU1IryY4tW4MHKCax584anbXTYefXLBPSaaX7wbMDrpUQyagbPmqSKB+C
x+sIF0w8PJReLLchGfNQ4qV5QK+TvPH91idyAsdP3qTIfprKkWxjVsMIBbvabe/o5bJqETdk1q7M
ICIHSNrjeOMGtbtxRrt/mFA9bJwqz148ISk1WJfNiaeNj+7cr9ucxLrKDLa8Vf2FEQQtp0Pk1zcR
o/aK8kUmMVrMlJNKFEObAsMJ6wi5v6aKrWpZ+uxL7NgBfvhBphsC4Y2rpiytR+H0gMFEgzJkE3VZ
ByKpdgOTxNnaPUaBA5CI7OamXWHArEPSmnX6Z+TTsHn9sa+f+zaq41UdhXqxjKbUv4ykIFrBRvmw
5xPiTcuCQfALkUQ81BBFGeekc7j+wBqsfgFQVTHcytIHywqrc1mlZO3W9EPneLS8VWd0DIWF7hwj
HPfXBirZL5FRueS6MhsUa567TIUdAb8VgFJt36Ibj8J1NFISLPq6CfN1EE2AYA2NFuaEpbjD8djZ
1s5JRVEA5bFKLKNQ2fCW8qjoLkXEvIno0ywIlgMRaVvJBOycpqKsVpPXu9Oi8FLrLc40D9IUHtZ7
z9bGl8jV9FfXTZVihD7xJGdf2IKPHdg/LipVkVSSxnG5Tps2nEH2wZvAenRuJ0RMo1ca0YYak9R2
y43Wk1PUN8pF4FqjgbowclB3m5GqLV5ZgyHWsEtdzimVuAspG//F6ytx1nNKjDVVr6ct68yz0/VQ
SuS5OBi0N3hREzWaqveIheYREf7Qjebnw7p2TG4Ti+cy2PEBXlQV68WLScCaOMUdW0lyFXCylmI4
FXoKuSgvix7YYFn7JNvWtVj6WRWeGAdbezNxoZICbK7nuSrkUdRiFYQpfCvd0uElg/s4Avu+MBDY
P5S94zaryvPTtwJx2bk2U8ynQHgQavmVWmmxNq0cNfAm1wMKcrNuiYnGQLH0dSpAwLHs2gJ4zms1
EWPhl1FiL2w9KF/CVKuPyTCxzBnIoMYtA7RotKA4bH0tc4ZLI440MB8dr+KGDOsDRCS0ZPScs6Rd
+QewC/XnMfUomieYU2ee3MChTeCaR+iEOf4HPSFteyjMra41oKUrh6B5niHroBbVWgr2S7i/nWlv
xWG80OA/rL2CdZUaG3XJN20dLFPoT9QBc+iZl2/AtpgaN01KdHDvT1jjUFeBhgTHPsSJOheWQl+S
EfHUgEREWZRXenTDkjpdGyXw4YXtevZRzwTllJ34ayH9T9Sp3lbnnlwXqkV76HnBRwLO2k8j5FoY
haRdr4JRJB+DpnBuSClE10R3EB8A9qXbScsycFjtcDcM/mkMW5BFWCVuUAxzX4oBNZkv7eHgVl2/
s8o0ODLwS7juMjq4IUTFJQgxe1skunis6ok5LJF4cq7QWeyHuo6q07EsDLptEFPNkm3+yeaI2UWU
pWBKhri5xKkB87IzaY7rjmA2oUVxy/5xSvfwhCmiUakXdxC+3A0lnDxJ2Jm31sQ815GNdioaQlx6
WbB0DWLZ3VVaGRBC5wqxl4Hrrp2hC++49Xx4umLiaPMVS0aIz5wuqiNZN82BCOXE2UKhCuUJg7wE
0Oq6Y7QwpZ5c2ppJiHoUEi8vJpx5PgK/6zqtAmSuOpCtUCe908+CkZ20itvbUaTRvUpVd0KJZH/m
3jVORlh7X6ombDZgQX3SPMQYaoS4WEgM24Kq3kjivV3J+NLR9XaAGMIsI2s5ryKlBEwgN4PRmKtw
pfIsw4BfMV0EarsXpSxRmFvDUUv5YROHF2HGm0MdaIMC+jNbsceaR13IV0O/SqbxrMfGbe4LoO5t
qAjTG1WJDpBoYUlIS4wK0hTDZQF4EiEHlYvNYDbM7wzCqDfS6uJTYYk3h2aQpzIhrs1qYC92gQrN
eZgfn+suSdi/4LHrH8gsDHkvp6pwN6TUtK+k3Y7L/0tznpZ+bqY7c7SpaNJ6GFa6jKHeT2MIHItH
isIyGuvNf493+r9hiPhNC/abQqu/mYPnPz0VUd7eFb9SY/2hv/R9KPfbL/QHlVu6gZTQAmb9k836
/ft6l4793sukLwBO1Ct4E+F+kEweKY6k/v4LkzP4puDbH2OzxuGMcs82QI3wC90UX++Hy/SPLsTv
/4y/1rX9+nV++gE+07e2sx4OBnn+43SVyvyPXYJfvMIPl4CpqS1mreTXKzAz0368BN4HBr/SxVX7
9c+Zt/6PXIJ/SKKxDOzxf+wi/OI1/n4RDO+DRSwuGxjvNz8H8oOhux4bwK8fgxk387/rIlAQGL8c
zP+zN4NhfeBDYAkLjcf7r198ErgIKFoNm/vl/dfXT96//mb4xbv4Vem5f/2Pf4MKK7++M1+xBn87
YP6JE8GAuWDMn/VZwPnjfeB+gEQ7k4W+Xub/RT823y7iTt6WP3sTOB9cXUcUYfziR/c+6DpACc/+
9vHnj//op/8PXKa/PTOWYZS+vj9Soi/ND/rf//IvfD9sf/0C3w7R+cMxn5Q//cWZ5PH1pb9+gubf
//Wnz9b7Qf/DH34/+N+/zrd//u0H/PWX/ulrff+pvv/PXfSlfqk/h5CBZ9bWt29zZjz/x7/9J6lP
9ctfTvXL65cm/Omwt+d0h79/Q7/Cc/GufP3k/+7rN83PEaLzouvPvywpGC/195d5vxs9AbP5z363
u5d6fMlfvr/Q+zsJuoAD/0+/cpS9fIZP9ptX2tJNaos/+yUOL1mm/vJ/XrLy3/9yfMEqGv10hThK
PW7aP/tV/h9r17abMAxDf6WfQIEBT5MYSGzaYGhD2rOh0RpaytTLpv39jkvDFCi0wnmN4MSxndhx
Y/uZ0gQ+WWQz6WAQxNjQ0/gEGO3H5US/UJSFFPwo9WXAStnyN10zUFtrp5WOzykIf+v3EH8zlk/w
GmiQb3CY8i668DgQ5rIIik2o8NjSAh/0uJuuVJrLItnS2uCUVCOBzgHVb7QlxIvI8k2R7dN3gP2u
o0hbPY97nRFbYSk3VrTTsbegoDBYzJHKiZCClzWe6o4WNBzmokxS/A+V5d6DSlBJ34CV1A9wYTED
kv2DwxwHVp5aOl652lLaZ2iqifLThkymewg17PYc2IvZ3qKYcZGnZ6a6nSOwyrSjxEPNLm+hN/s1
pd5Txl0MMgN+WIfv+y60fowXqZfNE+KKyD90oEbXO4pfLgTa6hRe4dltYWsQ6EbGPWpyijfAlAJ4
SaU40E4i9R7pW8Xa4LIsyrlQktmM3S78hoYVQjbN+SVrYXsGZXiDn1pJ91pTDVYh7VMVh6dMrwIz
Usqnx/2GAKJhRCVXnsKBPZxwWp+G9thu9iG25EBvJmFIea6zsxmqvEMH8m1RS1Ao4sb8RyH+SuEU
/Tz18f/vtFI9avskUbiM+vPIG8NeXNTkIXzGzmCEUGbfv0OvOp/byFxfb9198xiRPL+Fmkhj3d/s
Kzb/YhMrSu//AAAA//8=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accent4">
                <a:lumMod val="40000"/>
                <a:lumOff val="60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0</xdr:rowOff>
    </xdr:from>
    <xdr:to>
      <xdr:col>3</xdr:col>
      <xdr:colOff>579120</xdr:colOff>
      <xdr:row>4</xdr:row>
      <xdr:rowOff>30480</xdr:rowOff>
    </xdr:to>
    <xdr:sp macro="" textlink="">
      <xdr:nvSpPr>
        <xdr:cNvPr id="2" name="Rectangle: Rounded Corners 1">
          <a:extLst>
            <a:ext uri="{FF2B5EF4-FFF2-40B4-BE49-F238E27FC236}">
              <a16:creationId xmlns:a16="http://schemas.microsoft.com/office/drawing/2014/main" id="{04D7837C-351E-2B9C-F6DF-D94A46564B1D}"/>
            </a:ext>
          </a:extLst>
        </xdr:cNvPr>
        <xdr:cNvSpPr/>
      </xdr:nvSpPr>
      <xdr:spPr>
        <a:xfrm>
          <a:off x="60960" y="0"/>
          <a:ext cx="2346960" cy="76200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Sales</a:t>
          </a:r>
        </a:p>
      </xdr:txBody>
    </xdr:sp>
    <xdr:clientData/>
  </xdr:twoCellAnchor>
  <xdr:twoCellAnchor>
    <xdr:from>
      <xdr:col>1</xdr:col>
      <xdr:colOff>213360</xdr:colOff>
      <xdr:row>1</xdr:row>
      <xdr:rowOff>144780</xdr:rowOff>
    </xdr:from>
    <xdr:to>
      <xdr:col>2</xdr:col>
      <xdr:colOff>403860</xdr:colOff>
      <xdr:row>3</xdr:row>
      <xdr:rowOff>45720</xdr:rowOff>
    </xdr:to>
    <xdr:sp macro="" textlink="KPI!A3">
      <xdr:nvSpPr>
        <xdr:cNvPr id="3" name="Rectangle: Rounded Corners 2">
          <a:extLst>
            <a:ext uri="{FF2B5EF4-FFF2-40B4-BE49-F238E27FC236}">
              <a16:creationId xmlns:a16="http://schemas.microsoft.com/office/drawing/2014/main" id="{9D3CA5F6-A175-3F54-BEEC-8D98ED4F7647}"/>
            </a:ext>
          </a:extLst>
        </xdr:cNvPr>
        <xdr:cNvSpPr/>
      </xdr:nvSpPr>
      <xdr:spPr>
        <a:xfrm>
          <a:off x="822960" y="327660"/>
          <a:ext cx="800100" cy="266700"/>
        </a:xfrm>
        <a:prstGeom prst="roundRect">
          <a:avLst/>
        </a:prstGeom>
        <a:solidFill>
          <a:srgbClr val="455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595DBB2-8650-4BEF-B3A8-F0D7B4EA3473}" type="TxLink">
            <a:rPr lang="en-US" sz="1600" b="0" i="0" u="none" strike="noStrike">
              <a:solidFill>
                <a:schemeClr val="accent4">
                  <a:lumMod val="60000"/>
                  <a:lumOff val="40000"/>
                </a:schemeClr>
              </a:solidFill>
              <a:latin typeface="Calibri"/>
              <a:ea typeface="Calibri"/>
              <a:cs typeface="Calibri"/>
            </a:rPr>
            <a:pPr marL="0" indent="0" algn="ctr"/>
            <a:t>$114M</a:t>
          </a:fld>
          <a:endParaRPr lang="en-IN" sz="1600" b="0" i="0" u="none" strike="noStrike">
            <a:solidFill>
              <a:schemeClr val="accent4">
                <a:lumMod val="60000"/>
                <a:lumOff val="40000"/>
              </a:schemeClr>
            </a:solidFill>
            <a:latin typeface="Calibri"/>
            <a:ea typeface="Calibri"/>
            <a:cs typeface="Calibri"/>
          </a:endParaRPr>
        </a:p>
      </xdr:txBody>
    </xdr:sp>
    <xdr:clientData/>
  </xdr:twoCellAnchor>
  <xdr:twoCellAnchor>
    <xdr:from>
      <xdr:col>4</xdr:col>
      <xdr:colOff>0</xdr:colOff>
      <xdr:row>0</xdr:row>
      <xdr:rowOff>22860</xdr:rowOff>
    </xdr:from>
    <xdr:to>
      <xdr:col>7</xdr:col>
      <xdr:colOff>518160</xdr:colOff>
      <xdr:row>4</xdr:row>
      <xdr:rowOff>53340</xdr:rowOff>
    </xdr:to>
    <xdr:sp macro="" textlink="">
      <xdr:nvSpPr>
        <xdr:cNvPr id="4" name="Rectangle: Rounded Corners 3">
          <a:extLst>
            <a:ext uri="{FF2B5EF4-FFF2-40B4-BE49-F238E27FC236}">
              <a16:creationId xmlns:a16="http://schemas.microsoft.com/office/drawing/2014/main" id="{7F3756B0-B967-46EB-80A6-D98133EAFA40}"/>
            </a:ext>
          </a:extLst>
        </xdr:cNvPr>
        <xdr:cNvSpPr/>
      </xdr:nvSpPr>
      <xdr:spPr>
        <a:xfrm>
          <a:off x="2438400" y="22860"/>
          <a:ext cx="2346960" cy="76200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 Sales</a:t>
          </a:r>
        </a:p>
      </xdr:txBody>
    </xdr:sp>
    <xdr:clientData/>
  </xdr:twoCellAnchor>
  <xdr:twoCellAnchor>
    <xdr:from>
      <xdr:col>5</xdr:col>
      <xdr:colOff>152400</xdr:colOff>
      <xdr:row>1</xdr:row>
      <xdr:rowOff>167640</xdr:rowOff>
    </xdr:from>
    <xdr:to>
      <xdr:col>6</xdr:col>
      <xdr:colOff>342900</xdr:colOff>
      <xdr:row>3</xdr:row>
      <xdr:rowOff>68580</xdr:rowOff>
    </xdr:to>
    <xdr:sp macro="" textlink="KPI!C3">
      <xdr:nvSpPr>
        <xdr:cNvPr id="5" name="Rectangle: Rounded Corners 4">
          <a:extLst>
            <a:ext uri="{FF2B5EF4-FFF2-40B4-BE49-F238E27FC236}">
              <a16:creationId xmlns:a16="http://schemas.microsoft.com/office/drawing/2014/main" id="{A57AC69C-0B1B-4CB6-8948-5E0B44BDE110}"/>
            </a:ext>
          </a:extLst>
        </xdr:cNvPr>
        <xdr:cNvSpPr/>
      </xdr:nvSpPr>
      <xdr:spPr>
        <a:xfrm>
          <a:off x="3200400" y="350520"/>
          <a:ext cx="800100" cy="266700"/>
        </a:xfrm>
        <a:prstGeom prst="roundRect">
          <a:avLst/>
        </a:prstGeom>
        <a:solidFill>
          <a:srgbClr val="455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4DDA800-A230-418A-BB7B-B833D283C6CB}" type="TxLink">
            <a:rPr lang="en-US" sz="1600" b="0" i="0" u="none" strike="noStrike">
              <a:solidFill>
                <a:schemeClr val="accent4">
                  <a:lumMod val="60000"/>
                  <a:lumOff val="40000"/>
                </a:schemeClr>
              </a:solidFill>
              <a:latin typeface="Calibri"/>
              <a:ea typeface="Calibri"/>
              <a:cs typeface="Calibri"/>
            </a:rPr>
            <a:pPr marL="0" indent="0" algn="ctr"/>
            <a:t>$114K</a:t>
          </a:fld>
          <a:endParaRPr lang="en-IN" sz="1600" b="0" i="0" u="none" strike="noStrike">
            <a:solidFill>
              <a:schemeClr val="accent4">
                <a:lumMod val="60000"/>
                <a:lumOff val="40000"/>
              </a:schemeClr>
            </a:solidFill>
            <a:latin typeface="Calibri"/>
            <a:ea typeface="Calibri"/>
            <a:cs typeface="Calibri"/>
          </a:endParaRPr>
        </a:p>
      </xdr:txBody>
    </xdr:sp>
    <xdr:clientData/>
  </xdr:twoCellAnchor>
  <xdr:twoCellAnchor>
    <xdr:from>
      <xdr:col>11</xdr:col>
      <xdr:colOff>510540</xdr:colOff>
      <xdr:row>0</xdr:row>
      <xdr:rowOff>7620</xdr:rowOff>
    </xdr:from>
    <xdr:to>
      <xdr:col>15</xdr:col>
      <xdr:colOff>419100</xdr:colOff>
      <xdr:row>4</xdr:row>
      <xdr:rowOff>38100</xdr:rowOff>
    </xdr:to>
    <xdr:sp macro="" textlink="">
      <xdr:nvSpPr>
        <xdr:cNvPr id="6" name="Rectangle: Rounded Corners 5">
          <a:extLst>
            <a:ext uri="{FF2B5EF4-FFF2-40B4-BE49-F238E27FC236}">
              <a16:creationId xmlns:a16="http://schemas.microsoft.com/office/drawing/2014/main" id="{5CD55CF2-A3A3-4EFE-A287-C7DF4E94657F}"/>
            </a:ext>
          </a:extLst>
        </xdr:cNvPr>
        <xdr:cNvSpPr/>
      </xdr:nvSpPr>
      <xdr:spPr>
        <a:xfrm>
          <a:off x="7216140" y="7620"/>
          <a:ext cx="2346960" cy="76200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Return</a:t>
          </a:r>
          <a:r>
            <a:rPr lang="en-IN" sz="1100" b="1" baseline="0"/>
            <a:t> Rate</a:t>
          </a:r>
          <a:endParaRPr lang="en-IN" sz="1100" b="1"/>
        </a:p>
      </xdr:txBody>
    </xdr:sp>
    <xdr:clientData/>
  </xdr:twoCellAnchor>
  <xdr:twoCellAnchor>
    <xdr:from>
      <xdr:col>13</xdr:col>
      <xdr:colOff>53340</xdr:colOff>
      <xdr:row>1</xdr:row>
      <xdr:rowOff>152400</xdr:rowOff>
    </xdr:from>
    <xdr:to>
      <xdr:col>14</xdr:col>
      <xdr:colOff>243840</xdr:colOff>
      <xdr:row>3</xdr:row>
      <xdr:rowOff>53340</xdr:rowOff>
    </xdr:to>
    <xdr:sp macro="" textlink="KPI!I3">
      <xdr:nvSpPr>
        <xdr:cNvPr id="7" name="Rectangle: Rounded Corners 6">
          <a:extLst>
            <a:ext uri="{FF2B5EF4-FFF2-40B4-BE49-F238E27FC236}">
              <a16:creationId xmlns:a16="http://schemas.microsoft.com/office/drawing/2014/main" id="{A2F121BB-0F88-4AEC-A1C8-CE208CB0282D}"/>
            </a:ext>
          </a:extLst>
        </xdr:cNvPr>
        <xdr:cNvSpPr/>
      </xdr:nvSpPr>
      <xdr:spPr>
        <a:xfrm>
          <a:off x="7978140" y="335280"/>
          <a:ext cx="800100" cy="266700"/>
        </a:xfrm>
        <a:prstGeom prst="roundRect">
          <a:avLst/>
        </a:prstGeom>
        <a:solidFill>
          <a:srgbClr val="455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75D0CA-7E05-4FA7-8C2F-06327C3805C8}" type="TxLink">
            <a:rPr lang="en-US" sz="1600" b="0" i="0" u="none" strike="noStrike">
              <a:solidFill>
                <a:schemeClr val="accent4">
                  <a:lumMod val="60000"/>
                  <a:lumOff val="40000"/>
                </a:schemeClr>
              </a:solidFill>
              <a:latin typeface="Calibri"/>
              <a:ea typeface="Calibri"/>
              <a:cs typeface="Calibri"/>
            </a:rPr>
            <a:pPr marL="0" indent="0" algn="ctr"/>
            <a:t>353</a:t>
          </a:fld>
          <a:endParaRPr lang="en-IN" sz="1600" b="0" i="0" u="none" strike="noStrike">
            <a:solidFill>
              <a:schemeClr val="accent4">
                <a:lumMod val="60000"/>
                <a:lumOff val="40000"/>
              </a:schemeClr>
            </a:solidFill>
            <a:latin typeface="Calibri"/>
            <a:ea typeface="Calibri"/>
            <a:cs typeface="Calibri"/>
          </a:endParaRPr>
        </a:p>
      </xdr:txBody>
    </xdr:sp>
    <xdr:clientData/>
  </xdr:twoCellAnchor>
  <xdr:twoCellAnchor>
    <xdr:from>
      <xdr:col>7</xdr:col>
      <xdr:colOff>571500</xdr:colOff>
      <xdr:row>0</xdr:row>
      <xdr:rowOff>15240</xdr:rowOff>
    </xdr:from>
    <xdr:to>
      <xdr:col>11</xdr:col>
      <xdr:colOff>480060</xdr:colOff>
      <xdr:row>4</xdr:row>
      <xdr:rowOff>45720</xdr:rowOff>
    </xdr:to>
    <xdr:sp macro="" textlink="">
      <xdr:nvSpPr>
        <xdr:cNvPr id="8" name="Rectangle: Rounded Corners 7">
          <a:extLst>
            <a:ext uri="{FF2B5EF4-FFF2-40B4-BE49-F238E27FC236}">
              <a16:creationId xmlns:a16="http://schemas.microsoft.com/office/drawing/2014/main" id="{254DDFB4-F400-D7CC-2B48-E2CD96D510DC}"/>
            </a:ext>
          </a:extLst>
        </xdr:cNvPr>
        <xdr:cNvSpPr/>
      </xdr:nvSpPr>
      <xdr:spPr>
        <a:xfrm>
          <a:off x="4838700" y="15240"/>
          <a:ext cx="2346960" cy="76200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Delivery Rate</a:t>
          </a:r>
        </a:p>
      </xdr:txBody>
    </xdr:sp>
    <xdr:clientData/>
  </xdr:twoCellAnchor>
  <xdr:twoCellAnchor>
    <xdr:from>
      <xdr:col>9</xdr:col>
      <xdr:colOff>114300</xdr:colOff>
      <xdr:row>1</xdr:row>
      <xdr:rowOff>160020</xdr:rowOff>
    </xdr:from>
    <xdr:to>
      <xdr:col>10</xdr:col>
      <xdr:colOff>304800</xdr:colOff>
      <xdr:row>3</xdr:row>
      <xdr:rowOff>60960</xdr:rowOff>
    </xdr:to>
    <xdr:sp macro="" textlink="KPI!F3">
      <xdr:nvSpPr>
        <xdr:cNvPr id="9" name="Rectangle: Rounded Corners 8">
          <a:extLst>
            <a:ext uri="{FF2B5EF4-FFF2-40B4-BE49-F238E27FC236}">
              <a16:creationId xmlns:a16="http://schemas.microsoft.com/office/drawing/2014/main" id="{F295255F-6F57-C1B3-0BB0-C76617F3446C}"/>
            </a:ext>
          </a:extLst>
        </xdr:cNvPr>
        <xdr:cNvSpPr/>
      </xdr:nvSpPr>
      <xdr:spPr>
        <a:xfrm>
          <a:off x="5600700" y="342900"/>
          <a:ext cx="800100" cy="266700"/>
        </a:xfrm>
        <a:prstGeom prst="roundRect">
          <a:avLst/>
        </a:prstGeom>
        <a:solidFill>
          <a:srgbClr val="455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0F4A48C-8FD2-41C4-986D-221664F821B4}" type="TxLink">
            <a:rPr lang="en-US" sz="1600" b="0" i="0" u="none" strike="noStrike">
              <a:solidFill>
                <a:schemeClr val="accent4">
                  <a:lumMod val="60000"/>
                  <a:lumOff val="40000"/>
                </a:schemeClr>
              </a:solidFill>
              <a:latin typeface="Calibri"/>
              <a:ea typeface="Calibri"/>
              <a:cs typeface="Calibri"/>
            </a:rPr>
            <a:pPr marL="0" indent="0" algn="ctr"/>
            <a:t>331</a:t>
          </a:fld>
          <a:endParaRPr lang="en-IN" sz="1600" b="0" i="0" u="none" strike="noStrike">
            <a:solidFill>
              <a:schemeClr val="accent4">
                <a:lumMod val="60000"/>
                <a:lumOff val="40000"/>
              </a:schemeClr>
            </a:solidFill>
            <a:latin typeface="Calibri"/>
            <a:ea typeface="Calibri"/>
            <a:cs typeface="Calibri"/>
          </a:endParaRPr>
        </a:p>
      </xdr:txBody>
    </xdr:sp>
    <xdr:clientData/>
  </xdr:twoCellAnchor>
  <xdr:twoCellAnchor>
    <xdr:from>
      <xdr:col>0</xdr:col>
      <xdr:colOff>76200</xdr:colOff>
      <xdr:row>4</xdr:row>
      <xdr:rowOff>99060</xdr:rowOff>
    </xdr:from>
    <xdr:to>
      <xdr:col>6</xdr:col>
      <xdr:colOff>30480</xdr:colOff>
      <xdr:row>15</xdr:row>
      <xdr:rowOff>167640</xdr:rowOff>
    </xdr:to>
    <xdr:sp macro="" textlink="">
      <xdr:nvSpPr>
        <xdr:cNvPr id="12" name="Rectangle: Rounded Corners 11">
          <a:extLst>
            <a:ext uri="{FF2B5EF4-FFF2-40B4-BE49-F238E27FC236}">
              <a16:creationId xmlns:a16="http://schemas.microsoft.com/office/drawing/2014/main" id="{8F171BED-C9FE-4D93-888D-CE0AECE22AE1}"/>
            </a:ext>
          </a:extLst>
        </xdr:cNvPr>
        <xdr:cNvSpPr/>
      </xdr:nvSpPr>
      <xdr:spPr>
        <a:xfrm>
          <a:off x="76200" y="830580"/>
          <a:ext cx="3611880" cy="20802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0</xdr:col>
      <xdr:colOff>0</xdr:colOff>
      <xdr:row>4</xdr:row>
      <xdr:rowOff>45720</xdr:rowOff>
    </xdr:from>
    <xdr:to>
      <xdr:col>6</xdr:col>
      <xdr:colOff>76200</xdr:colOff>
      <xdr:row>15</xdr:row>
      <xdr:rowOff>83820</xdr:rowOff>
    </xdr:to>
    <xdr:graphicFrame macro="">
      <xdr:nvGraphicFramePr>
        <xdr:cNvPr id="13" name="Chart 12">
          <a:extLst>
            <a:ext uri="{FF2B5EF4-FFF2-40B4-BE49-F238E27FC236}">
              <a16:creationId xmlns:a16="http://schemas.microsoft.com/office/drawing/2014/main" id="{8B34E0AF-11AC-45BD-9C56-4DCAF3FF0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4</xdr:row>
      <xdr:rowOff>76200</xdr:rowOff>
    </xdr:from>
    <xdr:to>
      <xdr:col>12</xdr:col>
      <xdr:colOff>15240</xdr:colOff>
      <xdr:row>15</xdr:row>
      <xdr:rowOff>144780</xdr:rowOff>
    </xdr:to>
    <xdr:sp macro="" textlink="">
      <xdr:nvSpPr>
        <xdr:cNvPr id="14" name="Rectangle: Rounded Corners 13">
          <a:extLst>
            <a:ext uri="{FF2B5EF4-FFF2-40B4-BE49-F238E27FC236}">
              <a16:creationId xmlns:a16="http://schemas.microsoft.com/office/drawing/2014/main" id="{9FC874DD-ABAC-43F1-BE71-3EF0B21C7D13}"/>
            </a:ext>
          </a:extLst>
        </xdr:cNvPr>
        <xdr:cNvSpPr/>
      </xdr:nvSpPr>
      <xdr:spPr>
        <a:xfrm>
          <a:off x="3718560" y="807720"/>
          <a:ext cx="3611880" cy="20802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6</xdr:col>
      <xdr:colOff>106680</xdr:colOff>
      <xdr:row>4</xdr:row>
      <xdr:rowOff>22860</xdr:rowOff>
    </xdr:from>
    <xdr:to>
      <xdr:col>12</xdr:col>
      <xdr:colOff>91440</xdr:colOff>
      <xdr:row>15</xdr:row>
      <xdr:rowOff>22860</xdr:rowOff>
    </xdr:to>
    <xdr:graphicFrame macro="">
      <xdr:nvGraphicFramePr>
        <xdr:cNvPr id="15" name="Chart 14">
          <a:extLst>
            <a:ext uri="{FF2B5EF4-FFF2-40B4-BE49-F238E27FC236}">
              <a16:creationId xmlns:a16="http://schemas.microsoft.com/office/drawing/2014/main" id="{A163214E-9C29-4C23-9BCC-155D8F73B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68580</xdr:colOff>
      <xdr:row>4</xdr:row>
      <xdr:rowOff>83820</xdr:rowOff>
    </xdr:from>
    <xdr:to>
      <xdr:col>18</xdr:col>
      <xdr:colOff>22860</xdr:colOff>
      <xdr:row>15</xdr:row>
      <xdr:rowOff>152400</xdr:rowOff>
    </xdr:to>
    <xdr:sp macro="" textlink="">
      <xdr:nvSpPr>
        <xdr:cNvPr id="16" name="Rectangle: Rounded Corners 15">
          <a:extLst>
            <a:ext uri="{FF2B5EF4-FFF2-40B4-BE49-F238E27FC236}">
              <a16:creationId xmlns:a16="http://schemas.microsoft.com/office/drawing/2014/main" id="{8D9CB748-7E97-465F-A82B-2960942D9685}"/>
            </a:ext>
          </a:extLst>
        </xdr:cNvPr>
        <xdr:cNvSpPr/>
      </xdr:nvSpPr>
      <xdr:spPr>
        <a:xfrm>
          <a:off x="7383780" y="815340"/>
          <a:ext cx="3611880" cy="20802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11</xdr:col>
      <xdr:colOff>510540</xdr:colOff>
      <xdr:row>4</xdr:row>
      <xdr:rowOff>60960</xdr:rowOff>
    </xdr:from>
    <xdr:to>
      <xdr:col>18</xdr:col>
      <xdr:colOff>0</xdr:colOff>
      <xdr:row>14</xdr:row>
      <xdr:rowOff>53340</xdr:rowOff>
    </xdr:to>
    <xdr:graphicFrame macro="">
      <xdr:nvGraphicFramePr>
        <xdr:cNvPr id="17" name="Chart 16">
          <a:extLst>
            <a:ext uri="{FF2B5EF4-FFF2-40B4-BE49-F238E27FC236}">
              <a16:creationId xmlns:a16="http://schemas.microsoft.com/office/drawing/2014/main" id="{67082CC5-2950-430D-96DF-7772AFE7F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16</xdr:row>
      <xdr:rowOff>53340</xdr:rowOff>
    </xdr:from>
    <xdr:to>
      <xdr:col>6</xdr:col>
      <xdr:colOff>38100</xdr:colOff>
      <xdr:row>27</xdr:row>
      <xdr:rowOff>121920</xdr:rowOff>
    </xdr:to>
    <xdr:sp macro="" textlink="">
      <xdr:nvSpPr>
        <xdr:cNvPr id="19" name="Rectangle: Rounded Corners 18">
          <a:extLst>
            <a:ext uri="{FF2B5EF4-FFF2-40B4-BE49-F238E27FC236}">
              <a16:creationId xmlns:a16="http://schemas.microsoft.com/office/drawing/2014/main" id="{AA040359-EC20-4593-89C8-4C3A8CFD88A5}"/>
            </a:ext>
          </a:extLst>
        </xdr:cNvPr>
        <xdr:cNvSpPr/>
      </xdr:nvSpPr>
      <xdr:spPr>
        <a:xfrm>
          <a:off x="83820" y="2979420"/>
          <a:ext cx="3611880" cy="20802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0</xdr:col>
      <xdr:colOff>106680</xdr:colOff>
      <xdr:row>16</xdr:row>
      <xdr:rowOff>0</xdr:rowOff>
    </xdr:from>
    <xdr:to>
      <xdr:col>5</xdr:col>
      <xdr:colOff>571500</xdr:colOff>
      <xdr:row>27</xdr:row>
      <xdr:rowOff>99060</xdr:rowOff>
    </xdr:to>
    <xdr:graphicFrame macro="">
      <xdr:nvGraphicFramePr>
        <xdr:cNvPr id="20" name="Chart 19">
          <a:extLst>
            <a:ext uri="{FF2B5EF4-FFF2-40B4-BE49-F238E27FC236}">
              <a16:creationId xmlns:a16="http://schemas.microsoft.com/office/drawing/2014/main" id="{1D363AF4-CCE8-483C-8C5D-C5A7E5190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68580</xdr:colOff>
      <xdr:row>16</xdr:row>
      <xdr:rowOff>30480</xdr:rowOff>
    </xdr:from>
    <xdr:to>
      <xdr:col>12</xdr:col>
      <xdr:colOff>22860</xdr:colOff>
      <xdr:row>27</xdr:row>
      <xdr:rowOff>99060</xdr:rowOff>
    </xdr:to>
    <xdr:sp macro="" textlink="">
      <xdr:nvSpPr>
        <xdr:cNvPr id="21" name="Rectangle: Rounded Corners 20">
          <a:extLst>
            <a:ext uri="{FF2B5EF4-FFF2-40B4-BE49-F238E27FC236}">
              <a16:creationId xmlns:a16="http://schemas.microsoft.com/office/drawing/2014/main" id="{6062D970-3E31-4DA0-ACE4-A7C00169E722}"/>
            </a:ext>
          </a:extLst>
        </xdr:cNvPr>
        <xdr:cNvSpPr/>
      </xdr:nvSpPr>
      <xdr:spPr>
        <a:xfrm>
          <a:off x="3726180" y="2956560"/>
          <a:ext cx="3611880" cy="20802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6</xdr:col>
      <xdr:colOff>68580</xdr:colOff>
      <xdr:row>16</xdr:row>
      <xdr:rowOff>22860</xdr:rowOff>
    </xdr:from>
    <xdr:to>
      <xdr:col>12</xdr:col>
      <xdr:colOff>0</xdr:colOff>
      <xdr:row>27</xdr:row>
      <xdr:rowOff>53340</xdr:rowOff>
    </xdr:to>
    <xdr:graphicFrame macro="">
      <xdr:nvGraphicFramePr>
        <xdr:cNvPr id="22" name="Chart 21">
          <a:extLst>
            <a:ext uri="{FF2B5EF4-FFF2-40B4-BE49-F238E27FC236}">
              <a16:creationId xmlns:a16="http://schemas.microsoft.com/office/drawing/2014/main" id="{9170A23D-04A6-433F-B806-CB70B9938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60960</xdr:colOff>
      <xdr:row>16</xdr:row>
      <xdr:rowOff>15240</xdr:rowOff>
    </xdr:from>
    <xdr:to>
      <xdr:col>18</xdr:col>
      <xdr:colOff>15240</xdr:colOff>
      <xdr:row>27</xdr:row>
      <xdr:rowOff>83820</xdr:rowOff>
    </xdr:to>
    <xdr:sp macro="" textlink="">
      <xdr:nvSpPr>
        <xdr:cNvPr id="23" name="Rectangle: Rounded Corners 22">
          <a:extLst>
            <a:ext uri="{FF2B5EF4-FFF2-40B4-BE49-F238E27FC236}">
              <a16:creationId xmlns:a16="http://schemas.microsoft.com/office/drawing/2014/main" id="{4002EFF4-99CF-4263-9512-007A98FE1284}"/>
            </a:ext>
          </a:extLst>
        </xdr:cNvPr>
        <xdr:cNvSpPr/>
      </xdr:nvSpPr>
      <xdr:spPr>
        <a:xfrm>
          <a:off x="7376160" y="2941320"/>
          <a:ext cx="3611880" cy="20802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xdr:from>
      <xdr:col>12</xdr:col>
      <xdr:colOff>60960</xdr:colOff>
      <xdr:row>16</xdr:row>
      <xdr:rowOff>15240</xdr:rowOff>
    </xdr:from>
    <xdr:to>
      <xdr:col>18</xdr:col>
      <xdr:colOff>22860</xdr:colOff>
      <xdr:row>26</xdr:row>
      <xdr:rowOff>144780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B10FD5F7-C203-4F24-93A3-8627DC25A0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76160" y="2941320"/>
              <a:ext cx="3619500" cy="1958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60960</xdr:colOff>
      <xdr:row>0</xdr:row>
      <xdr:rowOff>0</xdr:rowOff>
    </xdr:from>
    <xdr:to>
      <xdr:col>20</xdr:col>
      <xdr:colOff>99060</xdr:colOff>
      <xdr:row>8</xdr:row>
      <xdr:rowOff>45720</xdr:rowOff>
    </xdr:to>
    <xdr:sp macro="" textlink="">
      <xdr:nvSpPr>
        <xdr:cNvPr id="28" name="Rectangle: Rounded Corners 27">
          <a:extLst>
            <a:ext uri="{FF2B5EF4-FFF2-40B4-BE49-F238E27FC236}">
              <a16:creationId xmlns:a16="http://schemas.microsoft.com/office/drawing/2014/main" id="{0C760C2C-8B95-4381-8F69-A2A51D8AB949}"/>
            </a:ext>
          </a:extLst>
        </xdr:cNvPr>
        <xdr:cNvSpPr/>
      </xdr:nvSpPr>
      <xdr:spPr>
        <a:xfrm>
          <a:off x="11033760" y="0"/>
          <a:ext cx="1257300" cy="15087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editAs="oneCell">
    <xdr:from>
      <xdr:col>18</xdr:col>
      <xdr:colOff>137160</xdr:colOff>
      <xdr:row>0</xdr:row>
      <xdr:rowOff>160021</xdr:rowOff>
    </xdr:from>
    <xdr:to>
      <xdr:col>20</xdr:col>
      <xdr:colOff>45720</xdr:colOff>
      <xdr:row>7</xdr:row>
      <xdr:rowOff>76200</xdr:rowOff>
    </xdr:to>
    <mc:AlternateContent xmlns:mc="http://schemas.openxmlformats.org/markup-compatibility/2006">
      <mc:Choice xmlns:a14="http://schemas.microsoft.com/office/drawing/2010/main" Requires="a14">
        <xdr:graphicFrame macro="">
          <xdr:nvGraphicFramePr>
            <xdr:cNvPr id="26" name="Category">
              <a:extLst>
                <a:ext uri="{FF2B5EF4-FFF2-40B4-BE49-F238E27FC236}">
                  <a16:creationId xmlns:a16="http://schemas.microsoft.com/office/drawing/2014/main" id="{9E656CEF-482F-4EA7-A9B1-2FFAC75F29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109960" y="160021"/>
              <a:ext cx="112776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60960</xdr:colOff>
      <xdr:row>8</xdr:row>
      <xdr:rowOff>91440</xdr:rowOff>
    </xdr:from>
    <xdr:to>
      <xdr:col>20</xdr:col>
      <xdr:colOff>137160</xdr:colOff>
      <xdr:row>17</xdr:row>
      <xdr:rowOff>106680</xdr:rowOff>
    </xdr:to>
    <xdr:sp macro="" textlink="">
      <xdr:nvSpPr>
        <xdr:cNvPr id="29" name="Rectangle: Rounded Corners 28">
          <a:extLst>
            <a:ext uri="{FF2B5EF4-FFF2-40B4-BE49-F238E27FC236}">
              <a16:creationId xmlns:a16="http://schemas.microsoft.com/office/drawing/2014/main" id="{58F7A567-4921-4729-904C-864B29EC6B7C}"/>
            </a:ext>
          </a:extLst>
        </xdr:cNvPr>
        <xdr:cNvSpPr/>
      </xdr:nvSpPr>
      <xdr:spPr>
        <a:xfrm>
          <a:off x="11033760" y="1554480"/>
          <a:ext cx="1295400" cy="1661160"/>
        </a:xfrm>
        <a:prstGeom prst="roundRect">
          <a:avLst/>
        </a:prstGeom>
        <a:solidFill>
          <a:srgbClr val="455A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p>
      </xdr:txBody>
    </xdr:sp>
    <xdr:clientData/>
  </xdr:twoCellAnchor>
  <xdr:twoCellAnchor editAs="oneCell">
    <xdr:from>
      <xdr:col>18</xdr:col>
      <xdr:colOff>129540</xdr:colOff>
      <xdr:row>9</xdr:row>
      <xdr:rowOff>22861</xdr:rowOff>
    </xdr:from>
    <xdr:to>
      <xdr:col>20</xdr:col>
      <xdr:colOff>53340</xdr:colOff>
      <xdr:row>16</xdr:row>
      <xdr:rowOff>175261</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6E474097-C6BB-465D-BC75-481A096C1B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02340" y="1668781"/>
              <a:ext cx="11430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refreshedDate="46048.665573379629" createdVersion="8" refreshedVersion="8" minRefreshableVersion="3" recordCount="1000" xr:uid="{A4E16BB9-0F63-4D61-89A2-347F45199875}">
  <cacheSource type="worksheet">
    <worksheetSource ref="A1:N1001" sheet="Excel_Interview_Practice_Datase"/>
  </cacheSource>
  <cacheFields count="16">
    <cacheField name="Order ID" numFmtId="0">
      <sharedItems/>
    </cacheField>
    <cacheField name="Order Date" numFmtId="14">
      <sharedItems containsSemiMixedTypes="0" containsNonDate="0" containsDate="1" containsString="0" minDate="2023-01-01T00:00:00" maxDate="2024-01-01T00:00:00" count="336">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d v="2023-05-16T00:00:00"/>
        <d v="2023-03-04T00:00:00"/>
        <d v="2023-05-19T00:00:00"/>
        <d v="2023-06-12T00:00:00"/>
        <d v="2023-10-16T00:00:00"/>
        <d v="2023-09-18T00:00:00"/>
        <d v="2023-08-19T00:00:00"/>
        <d v="2023-01-28T00:00:00"/>
        <d v="2023-07-20T00:00:00"/>
        <d v="2023-11-24T00:00:00"/>
        <d v="2023-09-25T00:00:00"/>
        <d v="2023-02-02T00:00:00"/>
        <d v="2023-02-17T00:00:00"/>
        <d v="2023-03-03T00:00:00"/>
        <d v="2023-08-04T00:00:00"/>
        <d v="2023-10-20T00:00:00"/>
        <d v="2023-04-09T00:00:00"/>
        <d v="2023-06-21T00:00:00"/>
        <d v="2023-08-02T00:00:00"/>
        <d v="2023-08-15T00:00:00"/>
        <d v="2023-04-11T00:00:00"/>
        <d v="2023-09-14T00:00:00"/>
        <d v="2023-01-05T00:00:00"/>
        <d v="2023-09-12T00:00:00"/>
        <d v="2023-12-25T00:00:00"/>
        <d v="2023-10-10T00:00:00"/>
        <d v="2023-07-26T00:00:00"/>
        <d v="2023-02-11T00:00:00"/>
        <d v="2023-06-28T00:00:00"/>
        <d v="2023-12-18T00:00:00"/>
        <d v="2023-08-29T00:00:00"/>
        <d v="2023-02-21T00:00:00"/>
        <d v="2023-04-06T00:00:00"/>
        <d v="2023-08-10T00:00:00"/>
        <d v="2023-05-23T00:00:00"/>
        <d v="2023-06-20T00:00:00"/>
        <d v="2023-01-29T00:00:00"/>
        <d v="2023-02-05T00:00:00"/>
        <d v="2023-01-13T00:00:00"/>
        <d v="2023-06-09T00:00:00"/>
        <d v="2023-07-06T00:00:00"/>
        <d v="2023-08-31T00:00:00"/>
        <d v="2023-03-27T00:00:00"/>
        <d v="2023-10-11T00:00:00"/>
        <d v="2023-03-07T00:00:00"/>
        <d v="2023-02-14T00:00:00"/>
        <d v="2023-05-14T00:00:00"/>
        <d v="2023-04-18T00:00:00"/>
        <d v="2023-10-13T00:00:00"/>
        <d v="2023-05-08T00:00:00"/>
        <d v="2023-12-14T00:00:00"/>
        <d v="2023-08-13T00:00:00"/>
        <d v="2023-05-01T00:00:00"/>
        <d v="2023-04-26T00:00:00"/>
        <d v="2023-08-21T00:00:00"/>
        <d v="2023-09-16T00:00:00"/>
        <d v="2023-07-17T00:00:00"/>
        <d v="2023-05-17T00:00:00"/>
        <d v="2023-11-14T00:00:00"/>
        <d v="2023-06-14T00:00:00"/>
        <d v="2023-08-22T00:00:00"/>
        <d v="2023-11-11T00:00:00"/>
        <d v="2023-06-29T00:00:00"/>
        <d v="2023-04-23T00:00:00"/>
        <d v="2023-10-22T00:00:00"/>
        <d v="2023-05-10T00:00:00"/>
        <d v="2023-08-08T00:00:00"/>
        <d v="2023-12-09T00:00:00"/>
        <d v="2023-08-12T00:00:00"/>
        <d v="2023-05-06T00:00:00"/>
        <d v="2023-09-04T00:00:00"/>
        <d v="2023-11-20T00:00:00"/>
        <d v="2023-07-22T00:00:00"/>
        <d v="2023-07-03T00:00:00"/>
        <d v="2023-05-03T00:00:00"/>
        <d v="2023-11-21T00:00:00"/>
        <d v="2023-04-08T00:00:00"/>
        <d v="2023-08-28T00:00:00"/>
        <d v="2023-05-24T00:00:00"/>
        <d v="2023-04-07T00:00:00"/>
        <d v="2023-05-04T00:00:00"/>
        <d v="2023-11-22T00:00:00"/>
        <d v="2023-05-28T00:00:00"/>
        <d v="2023-05-27T00:00:00"/>
        <d v="2023-07-18T00:00:00"/>
        <d v="2023-11-04T00:00:00"/>
        <d v="2023-02-08T00:00:00"/>
        <d v="2023-09-24T00:00:00"/>
        <d v="2023-05-31T00:00:00"/>
        <d v="2023-10-25T00:00:00"/>
        <d v="2023-09-20T00:00:00"/>
        <d v="2023-04-22T00:00:00"/>
        <d v="2023-03-01T00:00:00"/>
        <d v="2023-09-11T00:00:00"/>
        <d v="2023-05-20T00:00:00"/>
        <d v="2023-02-06T00:00:00"/>
        <d v="2023-04-30T00:00:00"/>
        <d v="2023-03-16T00:00:00"/>
        <d v="2023-04-14T00:00:00"/>
        <d v="2023-06-02T00:00:00"/>
        <d v="2023-07-13T00:00:00"/>
        <d v="2023-06-18T00:00:00"/>
        <d v="2023-03-09T00:00:00"/>
        <d v="2023-07-14T00:00:00"/>
        <d v="2023-06-25T00:00:00"/>
        <d v="2023-08-26T00:00:00"/>
        <d v="2023-06-07T00:00:00"/>
        <d v="2023-02-07T00:00:00"/>
        <d v="2023-08-18T00:00:00"/>
        <d v="2023-12-31T00:00:00"/>
        <d v="2023-01-27T00:00:00"/>
        <d v="2023-08-14T00:00:00"/>
        <d v="2023-11-13T00:00:00"/>
        <d v="2023-01-04T00:00:00"/>
        <d v="2023-01-17T00:00:00"/>
        <d v="2023-02-15T00:00:00"/>
        <d v="2023-01-06T00:00:00"/>
        <d v="2023-10-29T00:00:00"/>
        <d v="2023-06-30T00:00:00"/>
        <d v="2023-04-05T00:00:00"/>
        <d v="2023-09-13T00:00:00"/>
        <d v="2023-11-19T00:00:00"/>
        <d v="2023-01-18T00:00:00"/>
        <d v="2023-10-08T00:00:00"/>
        <d v="2023-08-11T00:00:00"/>
        <d v="2023-02-27T00:00:00"/>
        <d v="2023-06-23T00:00:00"/>
        <d v="2023-04-24T00:00:00"/>
        <d v="2023-10-15T00:00:00"/>
        <d v="2023-12-08T00:00:00"/>
        <d v="2023-05-07T00:00:00"/>
        <d v="2023-06-04T00:00:00"/>
        <d v="2023-09-30T00:00:00"/>
        <d v="2023-10-26T00:00:00"/>
        <d v="2023-09-03T00:00:00"/>
        <d v="2023-01-26T00:00:00"/>
        <d v="2023-12-21T00:00:00"/>
        <d v="2023-11-02T00:00:00"/>
        <d v="2023-11-09T00:00:00"/>
        <d v="2023-06-22T00:00:00"/>
        <d v="2023-01-20T00:00:00"/>
        <d v="2023-11-17T00:00:00"/>
        <d v="2023-05-22T00:00:00"/>
        <d v="2023-12-20T00:00:00"/>
        <d v="2023-11-18T00:00:00"/>
        <d v="2023-07-05T00:00:00"/>
        <d v="2023-05-05T00:00:00"/>
        <d v="2023-11-01T00:00:00"/>
        <d v="2023-07-15T00:00:00"/>
        <d v="2023-09-19T00:00:00"/>
        <d v="2023-12-16T00:00:00"/>
        <d v="2023-02-16T00:00:00"/>
        <d v="2023-11-07T00:00:00"/>
        <d v="2023-09-26T00:00:00"/>
        <d v="2023-05-25T00:00:00"/>
        <d v="2023-11-15T00:00:00"/>
        <d v="2023-10-02T00:00:00"/>
        <d v="2023-08-17T00:00:00"/>
        <d v="2023-04-27T00:00:00"/>
        <d v="2023-10-06T00:00:00"/>
        <d v="2023-01-01T00:00:00"/>
        <d v="2023-08-27T00:00:00"/>
        <d v="2023-10-17T00:00:00"/>
        <d v="2023-04-28T00:00:00"/>
        <d v="2023-09-29T00:00:00"/>
        <d v="2023-03-10T00:00:00"/>
        <d v="2023-10-05T00:00:00"/>
        <d v="2023-03-17T00:00:00"/>
        <d v="2023-06-03T00:00:00"/>
        <d v="2023-07-04T00:00:00"/>
        <d v="2023-10-12T00:00:00"/>
        <d v="2023-04-04T00:00:00"/>
        <d v="2023-07-23T00:00:00"/>
        <d v="2023-12-07T00:00:00"/>
        <d v="2023-12-23T00:00:00"/>
        <d v="2023-01-23T00:00:00"/>
        <d v="2023-09-07T00:00:00"/>
        <d v="2023-01-10T00:00:00"/>
        <d v="2023-01-16T00:00:00"/>
        <d v="2023-12-02T00:00:00"/>
        <d v="2023-06-27T00:00:00"/>
        <d v="2023-06-17T00:00:00"/>
        <d v="2023-11-26T00:00:00"/>
        <d v="2023-02-12T00:00:00"/>
        <d v="2023-01-12T00:00:00"/>
        <d v="2023-12-03T00:00:00"/>
        <d v="2023-03-31T00:00:00"/>
        <d v="2023-04-03T00:00:00"/>
        <d v="2023-04-25T00:00:00"/>
        <d v="2023-04-15T00:00:00"/>
        <d v="2023-09-06T00:00:00"/>
        <d v="2023-06-13T00:00:00"/>
        <d v="2023-06-26T00:00:00"/>
        <d v="2023-07-02T00:00:00"/>
        <d v="2023-12-27T00:00:00"/>
        <d v="2023-03-25T00:00:00"/>
        <d v="2023-01-19T00:00:00"/>
        <d v="2023-12-05T00:00:00"/>
        <d v="2023-01-25T00:00:00"/>
        <d v="2023-02-26T00:00:00"/>
        <d v="2023-04-19T00:00:00"/>
        <d v="2023-05-13T00:00:00"/>
        <d v="2023-08-09T00:00:00"/>
        <d v="2023-08-23T00:00:00"/>
        <d v="2023-05-26T00:00:00"/>
        <d v="2023-03-15T00:00:00"/>
        <d v="2023-01-07T00:00:00"/>
        <d v="2023-05-21T00:00:00"/>
        <d v="2023-05-12T00:00:00"/>
        <d v="2023-10-19T00:00:00"/>
        <d v="2023-03-11T00:00:00"/>
        <d v="2023-07-01T00:00:00"/>
        <d v="2023-04-01T00:00:00"/>
        <d v="2023-11-08T00:00:00"/>
        <d v="2023-10-30T00:00:00"/>
        <d v="2023-05-29T00:00:00"/>
        <d v="2023-03-21T00:00:00"/>
        <d v="2023-12-24T00:00:00"/>
        <d v="2023-06-05T00:00:00"/>
        <d v="2023-01-08T00:00:00"/>
        <d v="2023-08-16T00:00:00"/>
        <d v="2023-07-31T00:00:00"/>
        <d v="2023-03-23T00:00:00"/>
        <d v="2023-07-16T00:00:00"/>
        <d v="2023-09-08T00:00:00"/>
        <d v="2023-04-29T00:00:00"/>
        <d v="2023-10-09T00:00:00"/>
        <d v="2023-03-24T00:00:00"/>
        <d v="2023-03-26T00:00:00"/>
        <d v="2023-03-19T00:00:00"/>
        <d v="2023-07-24T00:00:00"/>
        <d v="2023-02-03T00:00:00"/>
        <d v="2023-12-01T00:00:00"/>
        <d v="2023-12-13T00:00:00"/>
        <d v="2023-06-15T00:00:00"/>
        <d v="2023-01-30T00:00:00"/>
        <d v="2023-05-18T00:00:00"/>
        <d v="2023-04-21T00:00:00"/>
        <d v="2023-03-02T00:00:00"/>
        <d v="2023-03-14T00:00:00"/>
        <d v="2023-02-25T00:00:00"/>
        <d v="2023-01-03T00:00:00"/>
        <d v="2023-12-29T00:00:00"/>
        <d v="2023-10-27T00:00:00"/>
        <d v="2023-03-08T00:00:00"/>
        <d v="2023-01-31T00:00:00"/>
        <d v="2023-02-09T00:00:00"/>
        <d v="2023-12-22T00:00:00"/>
        <d v="2023-11-29T00:00:00"/>
      </sharedItems>
      <fieldGroup par="15"/>
    </cacheField>
    <cacheField name="State" numFmtId="0">
      <sharedItems count="5">
        <s v="Maharashtra"/>
        <s v="Karnataka"/>
        <s v="Tamil Nadu"/>
        <s v="Telangana"/>
        <s v="Delhi"/>
      </sharedItems>
    </cacheField>
    <cacheField name="Region" numFmtId="0">
      <sharedItems count="3">
        <s v="South"/>
        <s v="West"/>
        <s v="North"/>
      </sharedItems>
    </cacheField>
    <cacheField name="Category" numFmtId="0">
      <sharedItems count="3">
        <s v="Electronics"/>
        <s v="Clothing"/>
        <s v="Furniture"/>
      </sharedItems>
    </cacheField>
    <cacheField name="Product" numFmtId="0">
      <sharedItems count="5">
        <s v="T-Shirt"/>
        <s v="Laptop"/>
        <s v="Chair"/>
        <s v="Table"/>
        <s v="Mobile"/>
      </sharedItems>
    </cacheField>
    <cacheField name="Quantity" numFmtId="0">
      <sharedItems containsSemiMixedTypes="0" containsString="0" containsNumber="1" containsInteger="1" minValue="1" maxValue="9" count="9">
        <n v="9"/>
        <n v="4"/>
        <n v="5"/>
        <n v="7"/>
        <n v="1"/>
        <n v="6"/>
        <n v="3"/>
        <n v="2"/>
        <n v="8"/>
      </sharedItems>
    </cacheField>
    <cacheField name="Unit Price" numFmtId="0">
      <sharedItems containsSemiMixedTypes="0" containsString="0" containsNumber="1" containsInteger="1" minValue="260" maxValue="49993"/>
    </cacheField>
    <cacheField name="Discount Amount" numFmtId="0">
      <sharedItems containsSemiMixedTypes="0" containsString="0" containsNumber="1" minValue="0" maxValue="89620.200000000012"/>
    </cacheField>
    <cacheField name="Payment Type" numFmtId="0">
      <sharedItems count="4">
        <s v="Cash"/>
        <s v="Card"/>
        <s v="UPI"/>
        <s v="Net Banking"/>
      </sharedItems>
    </cacheField>
    <cacheField name="Customer Segment" numFmtId="0">
      <sharedItems count="3">
        <s v="Home Office"/>
        <s v="Consumer"/>
        <s v="Corporate"/>
      </sharedItems>
    </cacheField>
    <cacheField name="Shipping Method" numFmtId="0">
      <sharedItems/>
    </cacheField>
    <cacheField name="Delivery Status" numFmtId="0">
      <sharedItems count="3">
        <s v="Returned"/>
        <s v="Delivered"/>
        <s v="Pending"/>
      </sharedItems>
    </cacheField>
    <cacheField name="Total Price" numFmtId="0">
      <sharedItems containsSemiMixedTypes="0" containsString="0" containsNumber="1" minValue="494" maxValue="449307"/>
    </cacheField>
    <cacheField name="Days (Order 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85866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
    <x v="0"/>
    <x v="0"/>
    <x v="0"/>
    <x v="0"/>
    <x v="0"/>
    <x v="0"/>
    <n v="49923"/>
    <n v="0"/>
    <x v="0"/>
    <x v="0"/>
    <s v="Same Day"/>
    <x v="0"/>
    <n v="449307"/>
  </r>
  <r>
    <s v="ORD10001"/>
    <x v="1"/>
    <x v="0"/>
    <x v="0"/>
    <x v="0"/>
    <x v="0"/>
    <x v="1"/>
    <n v="17374"/>
    <n v="13899.2"/>
    <x v="0"/>
    <x v="0"/>
    <s v="Standard"/>
    <x v="1"/>
    <n v="55596.800000000003"/>
  </r>
  <r>
    <s v="ORD10002"/>
    <x v="2"/>
    <x v="1"/>
    <x v="0"/>
    <x v="1"/>
    <x v="1"/>
    <x v="2"/>
    <n v="42798"/>
    <n v="42798"/>
    <x v="1"/>
    <x v="1"/>
    <s v="Standard"/>
    <x v="0"/>
    <n v="171192"/>
  </r>
  <r>
    <s v="ORD10003"/>
    <x v="3"/>
    <x v="2"/>
    <x v="0"/>
    <x v="1"/>
    <x v="0"/>
    <x v="3"/>
    <n v="13998"/>
    <n v="4899.3"/>
    <x v="0"/>
    <x v="1"/>
    <s v="Same Day"/>
    <x v="2"/>
    <n v="93086.7"/>
  </r>
  <r>
    <s v="ORD10004"/>
    <x v="4"/>
    <x v="2"/>
    <x v="0"/>
    <x v="1"/>
    <x v="2"/>
    <x v="1"/>
    <n v="17758"/>
    <n v="7103.2000000000007"/>
    <x v="2"/>
    <x v="1"/>
    <s v="Express"/>
    <x v="1"/>
    <n v="63928.800000000003"/>
  </r>
  <r>
    <s v="ORD10005"/>
    <x v="5"/>
    <x v="3"/>
    <x v="1"/>
    <x v="1"/>
    <x v="1"/>
    <x v="4"/>
    <n v="44437"/>
    <n v="4443.7"/>
    <x v="2"/>
    <x v="2"/>
    <s v="Standard"/>
    <x v="0"/>
    <n v="39993.300000000003"/>
  </r>
  <r>
    <s v="ORD10006"/>
    <x v="6"/>
    <x v="2"/>
    <x v="2"/>
    <x v="2"/>
    <x v="2"/>
    <x v="0"/>
    <n v="378"/>
    <n v="0"/>
    <x v="1"/>
    <x v="0"/>
    <s v="Same Day"/>
    <x v="1"/>
    <n v="3402"/>
  </r>
  <r>
    <s v="ORD10007"/>
    <x v="0"/>
    <x v="4"/>
    <x v="2"/>
    <x v="0"/>
    <x v="3"/>
    <x v="1"/>
    <n v="20670"/>
    <n v="4134"/>
    <x v="2"/>
    <x v="2"/>
    <s v="Same Day"/>
    <x v="1"/>
    <n v="78546"/>
  </r>
  <r>
    <s v="ORD10008"/>
    <x v="7"/>
    <x v="2"/>
    <x v="1"/>
    <x v="1"/>
    <x v="4"/>
    <x v="0"/>
    <n v="17318"/>
    <n v="0"/>
    <x v="3"/>
    <x v="0"/>
    <s v="Express"/>
    <x v="2"/>
    <n v="155862"/>
  </r>
  <r>
    <s v="ORD10009"/>
    <x v="8"/>
    <x v="3"/>
    <x v="1"/>
    <x v="2"/>
    <x v="3"/>
    <x v="5"/>
    <n v="22816"/>
    <n v="20534.399999999998"/>
    <x v="2"/>
    <x v="1"/>
    <s v="Express"/>
    <x v="1"/>
    <n v="116361.599999999"/>
  </r>
  <r>
    <s v="ORD10010"/>
    <x v="9"/>
    <x v="2"/>
    <x v="2"/>
    <x v="1"/>
    <x v="4"/>
    <x v="4"/>
    <n v="998"/>
    <n v="199.60000000000002"/>
    <x v="2"/>
    <x v="1"/>
    <s v="Standard"/>
    <x v="0"/>
    <n v="798.4"/>
  </r>
  <r>
    <s v="ORD10011"/>
    <x v="10"/>
    <x v="4"/>
    <x v="2"/>
    <x v="1"/>
    <x v="3"/>
    <x v="6"/>
    <n v="7801"/>
    <n v="0"/>
    <x v="2"/>
    <x v="1"/>
    <s v="Standard"/>
    <x v="1"/>
    <n v="23403"/>
  </r>
  <r>
    <s v="ORD10012"/>
    <x v="11"/>
    <x v="1"/>
    <x v="2"/>
    <x v="0"/>
    <x v="0"/>
    <x v="7"/>
    <n v="25563"/>
    <n v="10225.200000000001"/>
    <x v="3"/>
    <x v="1"/>
    <s v="Standard"/>
    <x v="1"/>
    <n v="40900.800000000003"/>
  </r>
  <r>
    <s v="ORD10013"/>
    <x v="12"/>
    <x v="3"/>
    <x v="2"/>
    <x v="1"/>
    <x v="2"/>
    <x v="0"/>
    <n v="2995"/>
    <n v="1347.75"/>
    <x v="0"/>
    <x v="0"/>
    <s v="Same Day"/>
    <x v="0"/>
    <n v="25607.25"/>
  </r>
  <r>
    <s v="ORD10014"/>
    <x v="13"/>
    <x v="1"/>
    <x v="2"/>
    <x v="0"/>
    <x v="4"/>
    <x v="4"/>
    <n v="32126"/>
    <n v="4818.8999999999996"/>
    <x v="2"/>
    <x v="1"/>
    <s v="Standard"/>
    <x v="2"/>
    <n v="27307.1"/>
  </r>
  <r>
    <s v="ORD10015"/>
    <x v="14"/>
    <x v="1"/>
    <x v="0"/>
    <x v="0"/>
    <x v="1"/>
    <x v="0"/>
    <n v="45464"/>
    <n v="20458.800000000003"/>
    <x v="1"/>
    <x v="0"/>
    <s v="Same Day"/>
    <x v="2"/>
    <n v="388717.19999999902"/>
  </r>
  <r>
    <s v="ORD10016"/>
    <x v="15"/>
    <x v="1"/>
    <x v="1"/>
    <x v="0"/>
    <x v="2"/>
    <x v="0"/>
    <n v="37556"/>
    <n v="50700.6"/>
    <x v="3"/>
    <x v="0"/>
    <s v="Standard"/>
    <x v="0"/>
    <n v="287303.39999999898"/>
  </r>
  <r>
    <s v="ORD10017"/>
    <x v="16"/>
    <x v="0"/>
    <x v="0"/>
    <x v="2"/>
    <x v="1"/>
    <x v="8"/>
    <n v="7497"/>
    <n v="8996.4"/>
    <x v="1"/>
    <x v="2"/>
    <s v="Express"/>
    <x v="0"/>
    <n v="50979.6"/>
  </r>
  <r>
    <s v="ORD10018"/>
    <x v="17"/>
    <x v="0"/>
    <x v="2"/>
    <x v="2"/>
    <x v="2"/>
    <x v="8"/>
    <n v="3284"/>
    <n v="5254.4000000000005"/>
    <x v="2"/>
    <x v="1"/>
    <s v="Express"/>
    <x v="2"/>
    <n v="21017.599999999999"/>
  </r>
  <r>
    <s v="ORD10019"/>
    <x v="18"/>
    <x v="1"/>
    <x v="2"/>
    <x v="0"/>
    <x v="2"/>
    <x v="4"/>
    <n v="30529"/>
    <n v="1526.45"/>
    <x v="1"/>
    <x v="1"/>
    <s v="Same Day"/>
    <x v="1"/>
    <n v="29002.55"/>
  </r>
  <r>
    <s v="ORD10020"/>
    <x v="19"/>
    <x v="3"/>
    <x v="2"/>
    <x v="1"/>
    <x v="3"/>
    <x v="8"/>
    <n v="11310"/>
    <n v="4524"/>
    <x v="2"/>
    <x v="2"/>
    <s v="Express"/>
    <x v="0"/>
    <n v="85956"/>
  </r>
  <r>
    <s v="ORD10021"/>
    <x v="20"/>
    <x v="4"/>
    <x v="0"/>
    <x v="0"/>
    <x v="4"/>
    <x v="6"/>
    <n v="931"/>
    <n v="0"/>
    <x v="3"/>
    <x v="0"/>
    <s v="Same Day"/>
    <x v="1"/>
    <n v="2793"/>
  </r>
  <r>
    <s v="ORD10022"/>
    <x v="21"/>
    <x v="4"/>
    <x v="0"/>
    <x v="1"/>
    <x v="4"/>
    <x v="3"/>
    <n v="1329"/>
    <n v="465.15000000000003"/>
    <x v="1"/>
    <x v="1"/>
    <s v="Same Day"/>
    <x v="0"/>
    <n v="8837.85"/>
  </r>
  <r>
    <s v="ORD10023"/>
    <x v="22"/>
    <x v="2"/>
    <x v="2"/>
    <x v="0"/>
    <x v="2"/>
    <x v="4"/>
    <n v="28222"/>
    <n v="0"/>
    <x v="1"/>
    <x v="0"/>
    <s v="Express"/>
    <x v="2"/>
    <n v="28222"/>
  </r>
  <r>
    <s v="ORD10024"/>
    <x v="23"/>
    <x v="3"/>
    <x v="0"/>
    <x v="1"/>
    <x v="0"/>
    <x v="4"/>
    <n v="1805"/>
    <n v="180.5"/>
    <x v="2"/>
    <x v="2"/>
    <s v="Same Day"/>
    <x v="1"/>
    <n v="1624.5"/>
  </r>
  <r>
    <s v="ORD10025"/>
    <x v="24"/>
    <x v="0"/>
    <x v="0"/>
    <x v="2"/>
    <x v="0"/>
    <x v="2"/>
    <n v="12170"/>
    <n v="6085"/>
    <x v="2"/>
    <x v="0"/>
    <s v="Express"/>
    <x v="1"/>
    <n v="54765"/>
  </r>
  <r>
    <s v="ORD10026"/>
    <x v="25"/>
    <x v="1"/>
    <x v="2"/>
    <x v="1"/>
    <x v="1"/>
    <x v="2"/>
    <n v="43905"/>
    <n v="21952.5"/>
    <x v="0"/>
    <x v="1"/>
    <s v="Standard"/>
    <x v="0"/>
    <n v="197572.5"/>
  </r>
  <r>
    <s v="ORD10027"/>
    <x v="26"/>
    <x v="2"/>
    <x v="0"/>
    <x v="0"/>
    <x v="1"/>
    <x v="8"/>
    <n v="44330"/>
    <n v="17732"/>
    <x v="2"/>
    <x v="0"/>
    <s v="Standard"/>
    <x v="1"/>
    <n v="336908"/>
  </r>
  <r>
    <s v="ORD10028"/>
    <x v="27"/>
    <x v="4"/>
    <x v="1"/>
    <x v="2"/>
    <x v="3"/>
    <x v="3"/>
    <n v="29465"/>
    <n v="10312.75"/>
    <x v="2"/>
    <x v="0"/>
    <s v="Express"/>
    <x v="0"/>
    <n v="195942.25"/>
  </r>
  <r>
    <s v="ORD10029"/>
    <x v="28"/>
    <x v="0"/>
    <x v="1"/>
    <x v="1"/>
    <x v="2"/>
    <x v="8"/>
    <n v="32530"/>
    <n v="0"/>
    <x v="0"/>
    <x v="1"/>
    <s v="Express"/>
    <x v="2"/>
    <n v="260240"/>
  </r>
  <r>
    <s v="ORD10030"/>
    <x v="29"/>
    <x v="0"/>
    <x v="1"/>
    <x v="1"/>
    <x v="1"/>
    <x v="5"/>
    <n v="3133"/>
    <n v="2819.7"/>
    <x v="2"/>
    <x v="1"/>
    <s v="Express"/>
    <x v="1"/>
    <n v="15978.3"/>
  </r>
  <r>
    <s v="ORD10031"/>
    <x v="30"/>
    <x v="1"/>
    <x v="1"/>
    <x v="1"/>
    <x v="1"/>
    <x v="5"/>
    <n v="15387"/>
    <n v="0"/>
    <x v="2"/>
    <x v="0"/>
    <s v="Express"/>
    <x v="0"/>
    <n v="92322"/>
  </r>
  <r>
    <s v="ORD10032"/>
    <x v="31"/>
    <x v="4"/>
    <x v="2"/>
    <x v="1"/>
    <x v="2"/>
    <x v="7"/>
    <n v="25991"/>
    <n v="5198.2000000000007"/>
    <x v="0"/>
    <x v="0"/>
    <s v="Standard"/>
    <x v="1"/>
    <n v="46783.8"/>
  </r>
  <r>
    <s v="ORD10033"/>
    <x v="2"/>
    <x v="3"/>
    <x v="2"/>
    <x v="1"/>
    <x v="3"/>
    <x v="5"/>
    <n v="25100"/>
    <n v="0"/>
    <x v="3"/>
    <x v="2"/>
    <s v="Same Day"/>
    <x v="0"/>
    <n v="150600"/>
  </r>
  <r>
    <s v="ORD10034"/>
    <x v="32"/>
    <x v="0"/>
    <x v="2"/>
    <x v="2"/>
    <x v="1"/>
    <x v="2"/>
    <n v="5274"/>
    <n v="3955.5"/>
    <x v="3"/>
    <x v="1"/>
    <s v="Same Day"/>
    <x v="0"/>
    <n v="22414.5"/>
  </r>
  <r>
    <s v="ORD10035"/>
    <x v="33"/>
    <x v="1"/>
    <x v="1"/>
    <x v="2"/>
    <x v="3"/>
    <x v="6"/>
    <n v="47005"/>
    <n v="7050.75"/>
    <x v="2"/>
    <x v="0"/>
    <s v="Standard"/>
    <x v="0"/>
    <n v="133964.25"/>
  </r>
  <r>
    <s v="ORD10036"/>
    <x v="34"/>
    <x v="3"/>
    <x v="1"/>
    <x v="2"/>
    <x v="4"/>
    <x v="5"/>
    <n v="26626"/>
    <n v="0"/>
    <x v="2"/>
    <x v="1"/>
    <s v="Same Day"/>
    <x v="2"/>
    <n v="159756"/>
  </r>
  <r>
    <s v="ORD10037"/>
    <x v="35"/>
    <x v="4"/>
    <x v="0"/>
    <x v="2"/>
    <x v="3"/>
    <x v="8"/>
    <n v="40067"/>
    <n v="32053.600000000002"/>
    <x v="0"/>
    <x v="2"/>
    <s v="Standard"/>
    <x v="1"/>
    <n v="288482.40000000002"/>
  </r>
  <r>
    <s v="ORD10038"/>
    <x v="36"/>
    <x v="0"/>
    <x v="0"/>
    <x v="0"/>
    <x v="0"/>
    <x v="0"/>
    <n v="1093"/>
    <n v="983.7"/>
    <x v="0"/>
    <x v="0"/>
    <s v="Same Day"/>
    <x v="2"/>
    <n v="8853.2999999999993"/>
  </r>
  <r>
    <s v="ORD10039"/>
    <x v="37"/>
    <x v="3"/>
    <x v="1"/>
    <x v="2"/>
    <x v="0"/>
    <x v="4"/>
    <n v="34358"/>
    <n v="1717.9"/>
    <x v="3"/>
    <x v="0"/>
    <s v="Express"/>
    <x v="0"/>
    <n v="32640.1"/>
  </r>
  <r>
    <s v="ORD10040"/>
    <x v="38"/>
    <x v="3"/>
    <x v="1"/>
    <x v="1"/>
    <x v="3"/>
    <x v="6"/>
    <n v="19973"/>
    <n v="0"/>
    <x v="1"/>
    <x v="0"/>
    <s v="Express"/>
    <x v="0"/>
    <n v="59919"/>
  </r>
  <r>
    <s v="ORD10041"/>
    <x v="14"/>
    <x v="3"/>
    <x v="1"/>
    <x v="1"/>
    <x v="0"/>
    <x v="6"/>
    <n v="4439"/>
    <n v="1997.55"/>
    <x v="2"/>
    <x v="1"/>
    <s v="Express"/>
    <x v="2"/>
    <n v="11319.449999999901"/>
  </r>
  <r>
    <s v="ORD10042"/>
    <x v="39"/>
    <x v="0"/>
    <x v="1"/>
    <x v="2"/>
    <x v="4"/>
    <x v="8"/>
    <n v="21063"/>
    <n v="8425.2000000000007"/>
    <x v="1"/>
    <x v="2"/>
    <s v="Standard"/>
    <x v="2"/>
    <n v="160078.79999999999"/>
  </r>
  <r>
    <s v="ORD10043"/>
    <x v="40"/>
    <x v="0"/>
    <x v="0"/>
    <x v="1"/>
    <x v="2"/>
    <x v="4"/>
    <n v="3632"/>
    <n v="0"/>
    <x v="1"/>
    <x v="1"/>
    <s v="Standard"/>
    <x v="1"/>
    <n v="3632"/>
  </r>
  <r>
    <s v="ORD10044"/>
    <x v="6"/>
    <x v="2"/>
    <x v="1"/>
    <x v="2"/>
    <x v="0"/>
    <x v="2"/>
    <n v="35339"/>
    <n v="35339"/>
    <x v="0"/>
    <x v="0"/>
    <s v="Same Day"/>
    <x v="0"/>
    <n v="141356"/>
  </r>
  <r>
    <s v="ORD10045"/>
    <x v="41"/>
    <x v="4"/>
    <x v="0"/>
    <x v="1"/>
    <x v="0"/>
    <x v="6"/>
    <n v="1715"/>
    <n v="514.5"/>
    <x v="2"/>
    <x v="2"/>
    <s v="Same Day"/>
    <x v="2"/>
    <n v="4630.5"/>
  </r>
  <r>
    <s v="ORD10046"/>
    <x v="42"/>
    <x v="1"/>
    <x v="1"/>
    <x v="0"/>
    <x v="3"/>
    <x v="7"/>
    <n v="31870"/>
    <n v="9561"/>
    <x v="2"/>
    <x v="0"/>
    <s v="Same Day"/>
    <x v="0"/>
    <n v="54179"/>
  </r>
  <r>
    <s v="ORD10047"/>
    <x v="43"/>
    <x v="3"/>
    <x v="1"/>
    <x v="0"/>
    <x v="4"/>
    <x v="8"/>
    <n v="48874"/>
    <n v="58648.799999999996"/>
    <x v="0"/>
    <x v="0"/>
    <s v="Standard"/>
    <x v="0"/>
    <n v="332343.2"/>
  </r>
  <r>
    <s v="ORD10048"/>
    <x v="44"/>
    <x v="2"/>
    <x v="1"/>
    <x v="2"/>
    <x v="2"/>
    <x v="6"/>
    <n v="39294"/>
    <n v="17682.3"/>
    <x v="1"/>
    <x v="1"/>
    <s v="Same Day"/>
    <x v="1"/>
    <n v="100199.7"/>
  </r>
  <r>
    <s v="ORD10049"/>
    <x v="45"/>
    <x v="1"/>
    <x v="0"/>
    <x v="2"/>
    <x v="3"/>
    <x v="3"/>
    <n v="14805"/>
    <n v="10363.5"/>
    <x v="0"/>
    <x v="0"/>
    <s v="Express"/>
    <x v="1"/>
    <n v="93271.5"/>
  </r>
  <r>
    <s v="ORD10050"/>
    <x v="46"/>
    <x v="2"/>
    <x v="0"/>
    <x v="2"/>
    <x v="3"/>
    <x v="4"/>
    <n v="5786"/>
    <n v="0"/>
    <x v="3"/>
    <x v="2"/>
    <s v="Same Day"/>
    <x v="1"/>
    <n v="5786"/>
  </r>
  <r>
    <s v="ORD10051"/>
    <x v="47"/>
    <x v="0"/>
    <x v="2"/>
    <x v="1"/>
    <x v="4"/>
    <x v="5"/>
    <n v="35885"/>
    <n v="10765.5"/>
    <x v="2"/>
    <x v="0"/>
    <s v="Express"/>
    <x v="2"/>
    <n v="204544.5"/>
  </r>
  <r>
    <s v="ORD10052"/>
    <x v="48"/>
    <x v="3"/>
    <x v="1"/>
    <x v="2"/>
    <x v="2"/>
    <x v="6"/>
    <n v="48869"/>
    <n v="0"/>
    <x v="3"/>
    <x v="0"/>
    <s v="Standard"/>
    <x v="0"/>
    <n v="146607"/>
  </r>
  <r>
    <s v="ORD10053"/>
    <x v="49"/>
    <x v="1"/>
    <x v="2"/>
    <x v="0"/>
    <x v="4"/>
    <x v="8"/>
    <n v="31386"/>
    <n v="12554.400000000001"/>
    <x v="0"/>
    <x v="1"/>
    <s v="Express"/>
    <x v="2"/>
    <n v="238533.59999999899"/>
  </r>
  <r>
    <s v="ORD10054"/>
    <x v="50"/>
    <x v="1"/>
    <x v="2"/>
    <x v="1"/>
    <x v="2"/>
    <x v="5"/>
    <n v="27128"/>
    <n v="24415.200000000001"/>
    <x v="2"/>
    <x v="2"/>
    <s v="Express"/>
    <x v="2"/>
    <n v="138352.79999999999"/>
  </r>
  <r>
    <s v="ORD10055"/>
    <x v="51"/>
    <x v="1"/>
    <x v="0"/>
    <x v="2"/>
    <x v="4"/>
    <x v="7"/>
    <n v="32928"/>
    <n v="0"/>
    <x v="3"/>
    <x v="1"/>
    <s v="Express"/>
    <x v="1"/>
    <n v="65856"/>
  </r>
  <r>
    <s v="ORD10056"/>
    <x v="52"/>
    <x v="1"/>
    <x v="0"/>
    <x v="1"/>
    <x v="3"/>
    <x v="5"/>
    <n v="17751"/>
    <n v="15975.9"/>
    <x v="3"/>
    <x v="0"/>
    <s v="Standard"/>
    <x v="0"/>
    <n v="90530.099999999904"/>
  </r>
  <r>
    <s v="ORD10057"/>
    <x v="53"/>
    <x v="1"/>
    <x v="2"/>
    <x v="1"/>
    <x v="3"/>
    <x v="3"/>
    <n v="21693"/>
    <n v="30370.2"/>
    <x v="1"/>
    <x v="1"/>
    <s v="Standard"/>
    <x v="0"/>
    <n v="121480.8"/>
  </r>
  <r>
    <s v="ORD10058"/>
    <x v="54"/>
    <x v="2"/>
    <x v="1"/>
    <x v="2"/>
    <x v="1"/>
    <x v="2"/>
    <n v="20911"/>
    <n v="15683.25"/>
    <x v="2"/>
    <x v="1"/>
    <s v="Standard"/>
    <x v="1"/>
    <n v="88871.75"/>
  </r>
  <r>
    <s v="ORD10059"/>
    <x v="55"/>
    <x v="3"/>
    <x v="0"/>
    <x v="1"/>
    <x v="0"/>
    <x v="6"/>
    <n v="20239"/>
    <n v="9107.5499999999993"/>
    <x v="3"/>
    <x v="1"/>
    <s v="Standard"/>
    <x v="0"/>
    <n v="51609.45"/>
  </r>
  <r>
    <s v="ORD10060"/>
    <x v="56"/>
    <x v="0"/>
    <x v="1"/>
    <x v="0"/>
    <x v="4"/>
    <x v="1"/>
    <n v="36761"/>
    <n v="7352.2000000000007"/>
    <x v="3"/>
    <x v="1"/>
    <s v="Same Day"/>
    <x v="1"/>
    <n v="139691.79999999999"/>
  </r>
  <r>
    <s v="ORD10061"/>
    <x v="57"/>
    <x v="0"/>
    <x v="1"/>
    <x v="0"/>
    <x v="1"/>
    <x v="1"/>
    <n v="10147"/>
    <n v="8117.6"/>
    <x v="1"/>
    <x v="0"/>
    <s v="Standard"/>
    <x v="2"/>
    <n v="32470.400000000001"/>
  </r>
  <r>
    <s v="ORD10062"/>
    <x v="12"/>
    <x v="0"/>
    <x v="2"/>
    <x v="1"/>
    <x v="0"/>
    <x v="5"/>
    <n v="32535"/>
    <n v="29281.5"/>
    <x v="3"/>
    <x v="0"/>
    <s v="Express"/>
    <x v="2"/>
    <n v="165928.5"/>
  </r>
  <r>
    <s v="ORD10063"/>
    <x v="58"/>
    <x v="0"/>
    <x v="2"/>
    <x v="2"/>
    <x v="4"/>
    <x v="4"/>
    <n v="16059"/>
    <n v="2408.85"/>
    <x v="3"/>
    <x v="2"/>
    <s v="Standard"/>
    <x v="1"/>
    <n v="13650.15"/>
  </r>
  <r>
    <s v="ORD10064"/>
    <x v="59"/>
    <x v="2"/>
    <x v="2"/>
    <x v="1"/>
    <x v="2"/>
    <x v="1"/>
    <n v="23322"/>
    <n v="18657.600000000002"/>
    <x v="3"/>
    <x v="1"/>
    <s v="Same Day"/>
    <x v="2"/>
    <n v="74630.399999999994"/>
  </r>
  <r>
    <s v="ORD10065"/>
    <x v="60"/>
    <x v="4"/>
    <x v="2"/>
    <x v="0"/>
    <x v="0"/>
    <x v="1"/>
    <n v="1777"/>
    <n v="1421.6000000000001"/>
    <x v="1"/>
    <x v="1"/>
    <s v="Same Day"/>
    <x v="2"/>
    <n v="5686.4"/>
  </r>
  <r>
    <s v="ORD10066"/>
    <x v="61"/>
    <x v="3"/>
    <x v="0"/>
    <x v="1"/>
    <x v="3"/>
    <x v="4"/>
    <n v="42456"/>
    <n v="0"/>
    <x v="3"/>
    <x v="2"/>
    <s v="Same Day"/>
    <x v="1"/>
    <n v="42456"/>
  </r>
  <r>
    <s v="ORD10067"/>
    <x v="62"/>
    <x v="1"/>
    <x v="0"/>
    <x v="1"/>
    <x v="1"/>
    <x v="0"/>
    <n v="28550"/>
    <n v="12847.5"/>
    <x v="3"/>
    <x v="1"/>
    <s v="Express"/>
    <x v="2"/>
    <n v="244102.5"/>
  </r>
  <r>
    <s v="ORD10068"/>
    <x v="63"/>
    <x v="4"/>
    <x v="2"/>
    <x v="0"/>
    <x v="0"/>
    <x v="1"/>
    <n v="42132"/>
    <n v="33705.599999999999"/>
    <x v="2"/>
    <x v="2"/>
    <s v="Standard"/>
    <x v="0"/>
    <n v="134822.39999999999"/>
  </r>
  <r>
    <s v="ORD10069"/>
    <x v="64"/>
    <x v="0"/>
    <x v="0"/>
    <x v="1"/>
    <x v="0"/>
    <x v="3"/>
    <n v="33998"/>
    <n v="47597.200000000004"/>
    <x v="2"/>
    <x v="0"/>
    <s v="Standard"/>
    <x v="2"/>
    <n v="190388.8"/>
  </r>
  <r>
    <s v="ORD10070"/>
    <x v="65"/>
    <x v="4"/>
    <x v="2"/>
    <x v="1"/>
    <x v="3"/>
    <x v="6"/>
    <n v="32098"/>
    <n v="9629.4"/>
    <x v="1"/>
    <x v="2"/>
    <s v="Standard"/>
    <x v="1"/>
    <n v="86664.6"/>
  </r>
  <r>
    <s v="ORD10071"/>
    <x v="66"/>
    <x v="3"/>
    <x v="1"/>
    <x v="2"/>
    <x v="4"/>
    <x v="6"/>
    <n v="16081"/>
    <n v="9648.6"/>
    <x v="0"/>
    <x v="1"/>
    <s v="Express"/>
    <x v="0"/>
    <n v="38594.400000000001"/>
  </r>
  <r>
    <s v="ORD10072"/>
    <x v="67"/>
    <x v="1"/>
    <x v="1"/>
    <x v="2"/>
    <x v="2"/>
    <x v="8"/>
    <n v="10985"/>
    <n v="4394"/>
    <x v="2"/>
    <x v="2"/>
    <s v="Express"/>
    <x v="0"/>
    <n v="83486"/>
  </r>
  <r>
    <s v="ORD10073"/>
    <x v="68"/>
    <x v="1"/>
    <x v="1"/>
    <x v="0"/>
    <x v="3"/>
    <x v="8"/>
    <n v="6891"/>
    <n v="8269.1999999999989"/>
    <x v="1"/>
    <x v="0"/>
    <s v="Same Day"/>
    <x v="2"/>
    <n v="46858.799999999901"/>
  </r>
  <r>
    <s v="ORD10074"/>
    <x v="69"/>
    <x v="3"/>
    <x v="2"/>
    <x v="0"/>
    <x v="2"/>
    <x v="4"/>
    <n v="17497"/>
    <n v="2624.5499999999997"/>
    <x v="3"/>
    <x v="1"/>
    <s v="Same Day"/>
    <x v="0"/>
    <n v="14872.449999999901"/>
  </r>
  <r>
    <s v="ORD10075"/>
    <x v="70"/>
    <x v="3"/>
    <x v="1"/>
    <x v="0"/>
    <x v="4"/>
    <x v="7"/>
    <n v="6558"/>
    <n v="1967.3999999999999"/>
    <x v="3"/>
    <x v="0"/>
    <s v="Standard"/>
    <x v="1"/>
    <n v="11148.6"/>
  </r>
  <r>
    <s v="ORD10076"/>
    <x v="2"/>
    <x v="0"/>
    <x v="0"/>
    <x v="2"/>
    <x v="0"/>
    <x v="8"/>
    <n v="19781"/>
    <n v="23737.200000000001"/>
    <x v="1"/>
    <x v="0"/>
    <s v="Express"/>
    <x v="0"/>
    <n v="134510.79999999999"/>
  </r>
  <r>
    <s v="ORD10077"/>
    <x v="8"/>
    <x v="1"/>
    <x v="1"/>
    <x v="0"/>
    <x v="2"/>
    <x v="4"/>
    <n v="1662"/>
    <n v="166.20000000000002"/>
    <x v="3"/>
    <x v="2"/>
    <s v="Express"/>
    <x v="2"/>
    <n v="1495.8"/>
  </r>
  <r>
    <s v="ORD10078"/>
    <x v="71"/>
    <x v="4"/>
    <x v="1"/>
    <x v="0"/>
    <x v="1"/>
    <x v="8"/>
    <n v="15711"/>
    <n v="25137.600000000002"/>
    <x v="3"/>
    <x v="0"/>
    <s v="Standard"/>
    <x v="2"/>
    <n v="100550.39999999999"/>
  </r>
  <r>
    <s v="ORD10079"/>
    <x v="32"/>
    <x v="2"/>
    <x v="1"/>
    <x v="0"/>
    <x v="1"/>
    <x v="8"/>
    <n v="10770"/>
    <n v="12924"/>
    <x v="0"/>
    <x v="1"/>
    <s v="Standard"/>
    <x v="0"/>
    <n v="73236"/>
  </r>
  <r>
    <s v="ORD10080"/>
    <x v="72"/>
    <x v="2"/>
    <x v="0"/>
    <x v="2"/>
    <x v="3"/>
    <x v="7"/>
    <n v="48865"/>
    <n v="0"/>
    <x v="3"/>
    <x v="0"/>
    <s v="Same Day"/>
    <x v="1"/>
    <n v="97730"/>
  </r>
  <r>
    <s v="ORD10081"/>
    <x v="73"/>
    <x v="3"/>
    <x v="2"/>
    <x v="1"/>
    <x v="4"/>
    <x v="1"/>
    <n v="44614"/>
    <n v="26768.399999999998"/>
    <x v="2"/>
    <x v="0"/>
    <s v="Same Day"/>
    <x v="1"/>
    <n v="151687.6"/>
  </r>
  <r>
    <s v="ORD10082"/>
    <x v="74"/>
    <x v="0"/>
    <x v="0"/>
    <x v="0"/>
    <x v="3"/>
    <x v="5"/>
    <n v="15674"/>
    <n v="18808.8"/>
    <x v="3"/>
    <x v="2"/>
    <s v="Same Day"/>
    <x v="2"/>
    <n v="75235.199999999997"/>
  </r>
  <r>
    <s v="ORD10083"/>
    <x v="75"/>
    <x v="2"/>
    <x v="2"/>
    <x v="1"/>
    <x v="3"/>
    <x v="0"/>
    <n v="7237"/>
    <n v="9769.9499999999989"/>
    <x v="1"/>
    <x v="0"/>
    <s v="Standard"/>
    <x v="2"/>
    <n v="55363.049999999901"/>
  </r>
  <r>
    <s v="ORD10084"/>
    <x v="76"/>
    <x v="1"/>
    <x v="2"/>
    <x v="0"/>
    <x v="3"/>
    <x v="8"/>
    <n v="28329"/>
    <n v="22663.200000000001"/>
    <x v="0"/>
    <x v="2"/>
    <s v="Standard"/>
    <x v="1"/>
    <n v="203968.8"/>
  </r>
  <r>
    <s v="ORD10085"/>
    <x v="50"/>
    <x v="3"/>
    <x v="1"/>
    <x v="1"/>
    <x v="1"/>
    <x v="8"/>
    <n v="42467"/>
    <n v="16986.8"/>
    <x v="3"/>
    <x v="2"/>
    <s v="Same Day"/>
    <x v="0"/>
    <n v="322749.2"/>
  </r>
  <r>
    <s v="ORD10086"/>
    <x v="77"/>
    <x v="4"/>
    <x v="2"/>
    <x v="2"/>
    <x v="1"/>
    <x v="3"/>
    <n v="13586"/>
    <n v="4755.1000000000004"/>
    <x v="1"/>
    <x v="1"/>
    <s v="Same Day"/>
    <x v="0"/>
    <n v="90346.9"/>
  </r>
  <r>
    <s v="ORD10087"/>
    <x v="78"/>
    <x v="3"/>
    <x v="0"/>
    <x v="2"/>
    <x v="3"/>
    <x v="0"/>
    <n v="6421"/>
    <n v="11557.800000000001"/>
    <x v="2"/>
    <x v="1"/>
    <s v="Express"/>
    <x v="0"/>
    <n v="46231.199999999997"/>
  </r>
  <r>
    <s v="ORD10088"/>
    <x v="71"/>
    <x v="4"/>
    <x v="0"/>
    <x v="0"/>
    <x v="1"/>
    <x v="7"/>
    <n v="23674"/>
    <n v="2367.4"/>
    <x v="3"/>
    <x v="1"/>
    <s v="Express"/>
    <x v="0"/>
    <n v="44980.6"/>
  </r>
  <r>
    <s v="ORD10089"/>
    <x v="31"/>
    <x v="3"/>
    <x v="2"/>
    <x v="1"/>
    <x v="4"/>
    <x v="6"/>
    <n v="40737"/>
    <n v="6110.55"/>
    <x v="0"/>
    <x v="1"/>
    <s v="Same Day"/>
    <x v="1"/>
    <n v="116100.45"/>
  </r>
  <r>
    <s v="ORD10090"/>
    <x v="79"/>
    <x v="3"/>
    <x v="1"/>
    <x v="2"/>
    <x v="3"/>
    <x v="8"/>
    <n v="47324"/>
    <n v="0"/>
    <x v="3"/>
    <x v="2"/>
    <s v="Same Day"/>
    <x v="2"/>
    <n v="378592"/>
  </r>
  <r>
    <s v="ORD10091"/>
    <x v="80"/>
    <x v="3"/>
    <x v="1"/>
    <x v="0"/>
    <x v="1"/>
    <x v="5"/>
    <n v="21245"/>
    <n v="25494"/>
    <x v="1"/>
    <x v="0"/>
    <s v="Express"/>
    <x v="2"/>
    <n v="101976"/>
  </r>
  <r>
    <s v="ORD10092"/>
    <x v="81"/>
    <x v="4"/>
    <x v="0"/>
    <x v="0"/>
    <x v="2"/>
    <x v="0"/>
    <n v="25983"/>
    <n v="46769.4"/>
    <x v="0"/>
    <x v="1"/>
    <s v="Same Day"/>
    <x v="0"/>
    <n v="187077.6"/>
  </r>
  <r>
    <s v="ORD10093"/>
    <x v="82"/>
    <x v="4"/>
    <x v="1"/>
    <x v="2"/>
    <x v="3"/>
    <x v="1"/>
    <n v="40357"/>
    <n v="8071.4000000000005"/>
    <x v="3"/>
    <x v="1"/>
    <s v="Express"/>
    <x v="1"/>
    <n v="153356.6"/>
  </r>
  <r>
    <s v="ORD10094"/>
    <x v="83"/>
    <x v="3"/>
    <x v="2"/>
    <x v="2"/>
    <x v="3"/>
    <x v="8"/>
    <n v="5122"/>
    <n v="2048.8000000000002"/>
    <x v="2"/>
    <x v="1"/>
    <s v="Express"/>
    <x v="1"/>
    <n v="38927.199999999997"/>
  </r>
  <r>
    <s v="ORD10095"/>
    <x v="27"/>
    <x v="2"/>
    <x v="2"/>
    <x v="0"/>
    <x v="4"/>
    <x v="6"/>
    <n v="46607"/>
    <n v="6991.05"/>
    <x v="0"/>
    <x v="0"/>
    <s v="Express"/>
    <x v="0"/>
    <n v="132829.94999999899"/>
  </r>
  <r>
    <s v="ORD10096"/>
    <x v="84"/>
    <x v="0"/>
    <x v="0"/>
    <x v="1"/>
    <x v="0"/>
    <x v="6"/>
    <n v="22906"/>
    <n v="6871.8"/>
    <x v="2"/>
    <x v="1"/>
    <s v="Standard"/>
    <x v="0"/>
    <n v="61846.2"/>
  </r>
  <r>
    <s v="ORD10097"/>
    <x v="85"/>
    <x v="0"/>
    <x v="2"/>
    <x v="1"/>
    <x v="0"/>
    <x v="8"/>
    <n v="42971"/>
    <n v="51565.2"/>
    <x v="1"/>
    <x v="0"/>
    <s v="Standard"/>
    <x v="0"/>
    <n v="292202.8"/>
  </r>
  <r>
    <s v="ORD10098"/>
    <x v="18"/>
    <x v="0"/>
    <x v="0"/>
    <x v="1"/>
    <x v="4"/>
    <x v="2"/>
    <n v="32679"/>
    <n v="16339.5"/>
    <x v="3"/>
    <x v="2"/>
    <s v="Same Day"/>
    <x v="2"/>
    <n v="147055.5"/>
  </r>
  <r>
    <s v="ORD10099"/>
    <x v="86"/>
    <x v="4"/>
    <x v="2"/>
    <x v="0"/>
    <x v="4"/>
    <x v="6"/>
    <n v="5378"/>
    <n v="3226.8"/>
    <x v="2"/>
    <x v="2"/>
    <s v="Express"/>
    <x v="0"/>
    <n v="12907.2"/>
  </r>
  <r>
    <s v="ORD10100"/>
    <x v="87"/>
    <x v="4"/>
    <x v="0"/>
    <x v="2"/>
    <x v="4"/>
    <x v="4"/>
    <n v="30222"/>
    <n v="0"/>
    <x v="1"/>
    <x v="2"/>
    <s v="Standard"/>
    <x v="2"/>
    <n v="30222"/>
  </r>
  <r>
    <s v="ORD10101"/>
    <x v="88"/>
    <x v="2"/>
    <x v="1"/>
    <x v="0"/>
    <x v="0"/>
    <x v="6"/>
    <n v="15440"/>
    <n v="6948"/>
    <x v="3"/>
    <x v="0"/>
    <s v="Same Day"/>
    <x v="1"/>
    <n v="39372"/>
  </r>
  <r>
    <s v="ORD10102"/>
    <x v="89"/>
    <x v="0"/>
    <x v="2"/>
    <x v="2"/>
    <x v="4"/>
    <x v="0"/>
    <n v="26420"/>
    <n v="0"/>
    <x v="1"/>
    <x v="1"/>
    <s v="Same Day"/>
    <x v="1"/>
    <n v="237780"/>
  </r>
  <r>
    <s v="ORD10103"/>
    <x v="56"/>
    <x v="0"/>
    <x v="2"/>
    <x v="1"/>
    <x v="1"/>
    <x v="2"/>
    <n v="36936"/>
    <n v="36936"/>
    <x v="2"/>
    <x v="1"/>
    <s v="Same Day"/>
    <x v="2"/>
    <n v="147744"/>
  </r>
  <r>
    <s v="ORD10104"/>
    <x v="90"/>
    <x v="3"/>
    <x v="0"/>
    <x v="1"/>
    <x v="3"/>
    <x v="7"/>
    <n v="2916"/>
    <n v="1166.4000000000001"/>
    <x v="1"/>
    <x v="1"/>
    <s v="Same Day"/>
    <x v="2"/>
    <n v="4665.6000000000004"/>
  </r>
  <r>
    <s v="ORD10105"/>
    <x v="91"/>
    <x v="4"/>
    <x v="0"/>
    <x v="2"/>
    <x v="3"/>
    <x v="3"/>
    <n v="16774"/>
    <n v="0"/>
    <x v="0"/>
    <x v="1"/>
    <s v="Same Day"/>
    <x v="2"/>
    <n v="117418"/>
  </r>
  <r>
    <s v="ORD10106"/>
    <x v="92"/>
    <x v="0"/>
    <x v="2"/>
    <x v="2"/>
    <x v="2"/>
    <x v="7"/>
    <n v="46479"/>
    <n v="0"/>
    <x v="3"/>
    <x v="1"/>
    <s v="Express"/>
    <x v="2"/>
    <n v="92958"/>
  </r>
  <r>
    <s v="ORD10107"/>
    <x v="93"/>
    <x v="2"/>
    <x v="0"/>
    <x v="0"/>
    <x v="2"/>
    <x v="1"/>
    <n v="17919"/>
    <n v="0"/>
    <x v="1"/>
    <x v="0"/>
    <s v="Same Day"/>
    <x v="0"/>
    <n v="71676"/>
  </r>
  <r>
    <s v="ORD10108"/>
    <x v="79"/>
    <x v="2"/>
    <x v="2"/>
    <x v="1"/>
    <x v="3"/>
    <x v="3"/>
    <n v="8381"/>
    <n v="11733.400000000001"/>
    <x v="2"/>
    <x v="2"/>
    <s v="Express"/>
    <x v="1"/>
    <n v="46933.599999999999"/>
  </r>
  <r>
    <s v="ORD10109"/>
    <x v="94"/>
    <x v="0"/>
    <x v="1"/>
    <x v="0"/>
    <x v="1"/>
    <x v="1"/>
    <n v="45963"/>
    <n v="9192.6"/>
    <x v="3"/>
    <x v="1"/>
    <s v="Standard"/>
    <x v="0"/>
    <n v="174659.4"/>
  </r>
  <r>
    <s v="ORD10110"/>
    <x v="40"/>
    <x v="4"/>
    <x v="0"/>
    <x v="0"/>
    <x v="0"/>
    <x v="3"/>
    <n v="44266"/>
    <n v="0"/>
    <x v="0"/>
    <x v="2"/>
    <s v="Same Day"/>
    <x v="2"/>
    <n v="309862"/>
  </r>
  <r>
    <s v="ORD10111"/>
    <x v="95"/>
    <x v="2"/>
    <x v="2"/>
    <x v="0"/>
    <x v="0"/>
    <x v="3"/>
    <n v="49730"/>
    <n v="52216.5"/>
    <x v="3"/>
    <x v="0"/>
    <s v="Standard"/>
    <x v="0"/>
    <n v="295893.5"/>
  </r>
  <r>
    <s v="ORD10112"/>
    <x v="96"/>
    <x v="3"/>
    <x v="1"/>
    <x v="1"/>
    <x v="1"/>
    <x v="4"/>
    <n v="20413"/>
    <n v="4082.6000000000004"/>
    <x v="0"/>
    <x v="0"/>
    <s v="Express"/>
    <x v="0"/>
    <n v="16330.4"/>
  </r>
  <r>
    <s v="ORD10113"/>
    <x v="97"/>
    <x v="2"/>
    <x v="1"/>
    <x v="0"/>
    <x v="0"/>
    <x v="5"/>
    <n v="6580"/>
    <n v="3948"/>
    <x v="3"/>
    <x v="1"/>
    <s v="Express"/>
    <x v="1"/>
    <n v="35532"/>
  </r>
  <r>
    <s v="ORD10114"/>
    <x v="98"/>
    <x v="1"/>
    <x v="2"/>
    <x v="0"/>
    <x v="4"/>
    <x v="0"/>
    <n v="815"/>
    <n v="733.5"/>
    <x v="1"/>
    <x v="0"/>
    <s v="Standard"/>
    <x v="0"/>
    <n v="6601.5"/>
  </r>
  <r>
    <s v="ORD10115"/>
    <x v="99"/>
    <x v="1"/>
    <x v="0"/>
    <x v="0"/>
    <x v="3"/>
    <x v="7"/>
    <n v="663"/>
    <n v="198.9"/>
    <x v="1"/>
    <x v="2"/>
    <s v="Same Day"/>
    <x v="1"/>
    <n v="1127.0999999999999"/>
  </r>
  <r>
    <s v="ORD10116"/>
    <x v="100"/>
    <x v="4"/>
    <x v="2"/>
    <x v="0"/>
    <x v="3"/>
    <x v="6"/>
    <n v="32173"/>
    <n v="4825.95"/>
    <x v="2"/>
    <x v="1"/>
    <s v="Same Day"/>
    <x v="2"/>
    <n v="91693.05"/>
  </r>
  <r>
    <s v="ORD10117"/>
    <x v="101"/>
    <x v="0"/>
    <x v="1"/>
    <x v="0"/>
    <x v="1"/>
    <x v="2"/>
    <n v="9358"/>
    <n v="0"/>
    <x v="0"/>
    <x v="1"/>
    <s v="Standard"/>
    <x v="0"/>
    <n v="46790"/>
  </r>
  <r>
    <s v="ORD10118"/>
    <x v="102"/>
    <x v="4"/>
    <x v="2"/>
    <x v="0"/>
    <x v="0"/>
    <x v="0"/>
    <n v="20851"/>
    <n v="37531.800000000003"/>
    <x v="2"/>
    <x v="2"/>
    <s v="Standard"/>
    <x v="2"/>
    <n v="150127.20000000001"/>
  </r>
  <r>
    <s v="ORD10119"/>
    <x v="103"/>
    <x v="4"/>
    <x v="0"/>
    <x v="1"/>
    <x v="2"/>
    <x v="1"/>
    <n v="3358"/>
    <n v="0"/>
    <x v="1"/>
    <x v="1"/>
    <s v="Standard"/>
    <x v="1"/>
    <n v="13432"/>
  </r>
  <r>
    <s v="ORD10120"/>
    <x v="104"/>
    <x v="4"/>
    <x v="1"/>
    <x v="0"/>
    <x v="2"/>
    <x v="4"/>
    <n v="20208"/>
    <n v="4041.6000000000004"/>
    <x v="0"/>
    <x v="1"/>
    <s v="Same Day"/>
    <x v="2"/>
    <n v="16166.4"/>
  </r>
  <r>
    <s v="ORD10121"/>
    <x v="12"/>
    <x v="4"/>
    <x v="2"/>
    <x v="2"/>
    <x v="0"/>
    <x v="1"/>
    <n v="46402"/>
    <n v="18560.8"/>
    <x v="2"/>
    <x v="2"/>
    <s v="Same Day"/>
    <x v="2"/>
    <n v="167047.20000000001"/>
  </r>
  <r>
    <s v="ORD10122"/>
    <x v="105"/>
    <x v="3"/>
    <x v="0"/>
    <x v="0"/>
    <x v="2"/>
    <x v="5"/>
    <n v="5138"/>
    <n v="0"/>
    <x v="2"/>
    <x v="1"/>
    <s v="Same Day"/>
    <x v="1"/>
    <n v="30828"/>
  </r>
  <r>
    <s v="ORD10123"/>
    <x v="54"/>
    <x v="3"/>
    <x v="1"/>
    <x v="0"/>
    <x v="1"/>
    <x v="2"/>
    <n v="38385"/>
    <n v="28788.75"/>
    <x v="2"/>
    <x v="1"/>
    <s v="Standard"/>
    <x v="2"/>
    <n v="163136.25"/>
  </r>
  <r>
    <s v="ORD10124"/>
    <x v="106"/>
    <x v="2"/>
    <x v="0"/>
    <x v="1"/>
    <x v="1"/>
    <x v="4"/>
    <n v="22588"/>
    <n v="1129.4000000000001"/>
    <x v="2"/>
    <x v="2"/>
    <s v="Same Day"/>
    <x v="2"/>
    <n v="21458.6"/>
  </r>
  <r>
    <s v="ORD10125"/>
    <x v="107"/>
    <x v="1"/>
    <x v="1"/>
    <x v="1"/>
    <x v="0"/>
    <x v="1"/>
    <n v="9081"/>
    <n v="5448.5999999999995"/>
    <x v="2"/>
    <x v="0"/>
    <s v="Express"/>
    <x v="2"/>
    <n v="30875.3999999999"/>
  </r>
  <r>
    <s v="ORD10126"/>
    <x v="14"/>
    <x v="4"/>
    <x v="2"/>
    <x v="2"/>
    <x v="2"/>
    <x v="5"/>
    <n v="5803"/>
    <n v="1740.9"/>
    <x v="0"/>
    <x v="2"/>
    <s v="Standard"/>
    <x v="0"/>
    <n v="33077.1"/>
  </r>
  <r>
    <s v="ORD10127"/>
    <x v="108"/>
    <x v="2"/>
    <x v="0"/>
    <x v="2"/>
    <x v="1"/>
    <x v="1"/>
    <n v="35180"/>
    <n v="0"/>
    <x v="2"/>
    <x v="1"/>
    <s v="Same Day"/>
    <x v="2"/>
    <n v="140720"/>
  </r>
  <r>
    <s v="ORD10128"/>
    <x v="109"/>
    <x v="1"/>
    <x v="1"/>
    <x v="1"/>
    <x v="1"/>
    <x v="0"/>
    <n v="22704"/>
    <n v="0"/>
    <x v="0"/>
    <x v="2"/>
    <s v="Standard"/>
    <x v="1"/>
    <n v="204336"/>
  </r>
  <r>
    <s v="ORD10129"/>
    <x v="64"/>
    <x v="0"/>
    <x v="0"/>
    <x v="1"/>
    <x v="4"/>
    <x v="2"/>
    <n v="16966"/>
    <n v="4241.5"/>
    <x v="2"/>
    <x v="1"/>
    <s v="Express"/>
    <x v="0"/>
    <n v="80588.5"/>
  </r>
  <r>
    <s v="ORD10130"/>
    <x v="110"/>
    <x v="3"/>
    <x v="0"/>
    <x v="0"/>
    <x v="4"/>
    <x v="8"/>
    <n v="28586"/>
    <n v="22868.800000000003"/>
    <x v="1"/>
    <x v="1"/>
    <s v="Express"/>
    <x v="0"/>
    <n v="205819.2"/>
  </r>
  <r>
    <s v="ORD10131"/>
    <x v="111"/>
    <x v="1"/>
    <x v="2"/>
    <x v="1"/>
    <x v="1"/>
    <x v="0"/>
    <n v="11895"/>
    <n v="21411"/>
    <x v="1"/>
    <x v="2"/>
    <s v="Standard"/>
    <x v="1"/>
    <n v="85644"/>
  </r>
  <r>
    <s v="ORD10132"/>
    <x v="112"/>
    <x v="0"/>
    <x v="0"/>
    <x v="2"/>
    <x v="0"/>
    <x v="2"/>
    <n v="17996"/>
    <n v="13497"/>
    <x v="2"/>
    <x v="1"/>
    <s v="Standard"/>
    <x v="2"/>
    <n v="76483"/>
  </r>
  <r>
    <s v="ORD10133"/>
    <x v="113"/>
    <x v="1"/>
    <x v="1"/>
    <x v="0"/>
    <x v="3"/>
    <x v="5"/>
    <n v="42743"/>
    <n v="38468.699999999997"/>
    <x v="3"/>
    <x v="0"/>
    <s v="Express"/>
    <x v="0"/>
    <n v="217989.3"/>
  </r>
  <r>
    <s v="ORD10134"/>
    <x v="81"/>
    <x v="3"/>
    <x v="1"/>
    <x v="2"/>
    <x v="3"/>
    <x v="4"/>
    <n v="14759"/>
    <n v="2213.85"/>
    <x v="1"/>
    <x v="1"/>
    <s v="Standard"/>
    <x v="0"/>
    <n v="12545.15"/>
  </r>
  <r>
    <s v="ORD10135"/>
    <x v="49"/>
    <x v="3"/>
    <x v="1"/>
    <x v="0"/>
    <x v="1"/>
    <x v="3"/>
    <n v="39114"/>
    <n v="0"/>
    <x v="0"/>
    <x v="2"/>
    <s v="Express"/>
    <x v="0"/>
    <n v="273798"/>
  </r>
  <r>
    <s v="ORD10136"/>
    <x v="114"/>
    <x v="2"/>
    <x v="1"/>
    <x v="1"/>
    <x v="1"/>
    <x v="1"/>
    <n v="33339"/>
    <n v="20003.399999999998"/>
    <x v="2"/>
    <x v="0"/>
    <s v="Express"/>
    <x v="2"/>
    <n v="113352.599999999"/>
  </r>
  <r>
    <s v="ORD10137"/>
    <x v="115"/>
    <x v="4"/>
    <x v="2"/>
    <x v="2"/>
    <x v="1"/>
    <x v="7"/>
    <n v="38533"/>
    <n v="15413.2"/>
    <x v="0"/>
    <x v="0"/>
    <s v="Same Day"/>
    <x v="0"/>
    <n v="61652.800000000003"/>
  </r>
  <r>
    <s v="ORD10138"/>
    <x v="88"/>
    <x v="1"/>
    <x v="0"/>
    <x v="0"/>
    <x v="0"/>
    <x v="2"/>
    <n v="9002"/>
    <n v="9002"/>
    <x v="3"/>
    <x v="1"/>
    <s v="Standard"/>
    <x v="1"/>
    <n v="36008"/>
  </r>
  <r>
    <s v="ORD10139"/>
    <x v="116"/>
    <x v="1"/>
    <x v="2"/>
    <x v="0"/>
    <x v="4"/>
    <x v="6"/>
    <n v="8507"/>
    <n v="1276.0500000000002"/>
    <x v="2"/>
    <x v="2"/>
    <s v="Standard"/>
    <x v="2"/>
    <n v="24244.949999999899"/>
  </r>
  <r>
    <s v="ORD10140"/>
    <x v="93"/>
    <x v="0"/>
    <x v="0"/>
    <x v="1"/>
    <x v="1"/>
    <x v="5"/>
    <n v="40405"/>
    <n v="0"/>
    <x v="1"/>
    <x v="1"/>
    <s v="Same Day"/>
    <x v="1"/>
    <n v="242430"/>
  </r>
  <r>
    <s v="ORD10141"/>
    <x v="117"/>
    <x v="3"/>
    <x v="0"/>
    <x v="1"/>
    <x v="1"/>
    <x v="8"/>
    <n v="33414"/>
    <n v="53462.400000000001"/>
    <x v="0"/>
    <x v="1"/>
    <s v="Express"/>
    <x v="1"/>
    <n v="213849.60000000001"/>
  </r>
  <r>
    <s v="ORD10142"/>
    <x v="118"/>
    <x v="1"/>
    <x v="0"/>
    <x v="1"/>
    <x v="2"/>
    <x v="3"/>
    <n v="34359"/>
    <n v="24051.300000000003"/>
    <x v="1"/>
    <x v="2"/>
    <s v="Standard"/>
    <x v="0"/>
    <n v="216461.7"/>
  </r>
  <r>
    <s v="ORD10143"/>
    <x v="119"/>
    <x v="3"/>
    <x v="2"/>
    <x v="2"/>
    <x v="0"/>
    <x v="6"/>
    <n v="11716"/>
    <n v="0"/>
    <x v="1"/>
    <x v="2"/>
    <s v="Same Day"/>
    <x v="0"/>
    <n v="35148"/>
  </r>
  <r>
    <s v="ORD10144"/>
    <x v="120"/>
    <x v="1"/>
    <x v="0"/>
    <x v="0"/>
    <x v="1"/>
    <x v="8"/>
    <n v="29286"/>
    <n v="0"/>
    <x v="2"/>
    <x v="1"/>
    <s v="Same Day"/>
    <x v="0"/>
    <n v="234288"/>
  </r>
  <r>
    <s v="ORD10145"/>
    <x v="93"/>
    <x v="2"/>
    <x v="2"/>
    <x v="1"/>
    <x v="2"/>
    <x v="7"/>
    <n v="48422"/>
    <n v="19368.8"/>
    <x v="0"/>
    <x v="0"/>
    <s v="Standard"/>
    <x v="1"/>
    <n v="77475.199999999997"/>
  </r>
  <r>
    <s v="ORD10146"/>
    <x v="75"/>
    <x v="4"/>
    <x v="1"/>
    <x v="2"/>
    <x v="3"/>
    <x v="0"/>
    <n v="30680"/>
    <n v="27612"/>
    <x v="3"/>
    <x v="1"/>
    <s v="Same Day"/>
    <x v="2"/>
    <n v="248508"/>
  </r>
  <r>
    <s v="ORD10147"/>
    <x v="121"/>
    <x v="1"/>
    <x v="1"/>
    <x v="2"/>
    <x v="1"/>
    <x v="1"/>
    <n v="44859"/>
    <n v="8971.8000000000011"/>
    <x v="1"/>
    <x v="0"/>
    <s v="Express"/>
    <x v="0"/>
    <n v="170464.19999999899"/>
  </r>
  <r>
    <s v="ORD10148"/>
    <x v="122"/>
    <x v="3"/>
    <x v="0"/>
    <x v="2"/>
    <x v="1"/>
    <x v="4"/>
    <n v="47966"/>
    <n v="9593.2000000000007"/>
    <x v="2"/>
    <x v="1"/>
    <s v="Same Day"/>
    <x v="0"/>
    <n v="38372.800000000003"/>
  </r>
  <r>
    <s v="ORD10149"/>
    <x v="123"/>
    <x v="2"/>
    <x v="2"/>
    <x v="1"/>
    <x v="2"/>
    <x v="8"/>
    <n v="38937"/>
    <n v="31149.600000000002"/>
    <x v="2"/>
    <x v="2"/>
    <s v="Express"/>
    <x v="1"/>
    <n v="280346.40000000002"/>
  </r>
  <r>
    <s v="ORD10150"/>
    <x v="124"/>
    <x v="1"/>
    <x v="1"/>
    <x v="1"/>
    <x v="0"/>
    <x v="3"/>
    <n v="9465"/>
    <n v="0"/>
    <x v="3"/>
    <x v="0"/>
    <s v="Express"/>
    <x v="2"/>
    <n v="66255"/>
  </r>
  <r>
    <s v="ORD10151"/>
    <x v="125"/>
    <x v="0"/>
    <x v="2"/>
    <x v="0"/>
    <x v="1"/>
    <x v="2"/>
    <n v="48829"/>
    <n v="24414.5"/>
    <x v="2"/>
    <x v="2"/>
    <s v="Standard"/>
    <x v="1"/>
    <n v="219730.5"/>
  </r>
  <r>
    <s v="ORD10152"/>
    <x v="126"/>
    <x v="4"/>
    <x v="2"/>
    <x v="0"/>
    <x v="3"/>
    <x v="2"/>
    <n v="5654"/>
    <n v="0"/>
    <x v="1"/>
    <x v="2"/>
    <s v="Same Day"/>
    <x v="0"/>
    <n v="28270"/>
  </r>
  <r>
    <s v="ORD10153"/>
    <x v="84"/>
    <x v="1"/>
    <x v="0"/>
    <x v="1"/>
    <x v="1"/>
    <x v="3"/>
    <n v="36118"/>
    <n v="50565.200000000004"/>
    <x v="2"/>
    <x v="2"/>
    <s v="Express"/>
    <x v="1"/>
    <n v="202260.8"/>
  </r>
  <r>
    <s v="ORD10154"/>
    <x v="127"/>
    <x v="2"/>
    <x v="1"/>
    <x v="2"/>
    <x v="3"/>
    <x v="2"/>
    <n v="26381"/>
    <n v="26381"/>
    <x v="0"/>
    <x v="2"/>
    <s v="Express"/>
    <x v="0"/>
    <n v="105524"/>
  </r>
  <r>
    <s v="ORD10155"/>
    <x v="128"/>
    <x v="0"/>
    <x v="0"/>
    <x v="2"/>
    <x v="4"/>
    <x v="8"/>
    <n v="15586"/>
    <n v="18703.2"/>
    <x v="0"/>
    <x v="2"/>
    <s v="Same Day"/>
    <x v="2"/>
    <n v="105984.8"/>
  </r>
  <r>
    <s v="ORD10156"/>
    <x v="129"/>
    <x v="2"/>
    <x v="0"/>
    <x v="2"/>
    <x v="4"/>
    <x v="5"/>
    <n v="39382"/>
    <n v="35443.799999999996"/>
    <x v="1"/>
    <x v="1"/>
    <s v="Express"/>
    <x v="1"/>
    <n v="200848.19999999899"/>
  </r>
  <r>
    <s v="ORD10157"/>
    <x v="130"/>
    <x v="2"/>
    <x v="1"/>
    <x v="0"/>
    <x v="3"/>
    <x v="2"/>
    <n v="37625"/>
    <n v="28218.75"/>
    <x v="0"/>
    <x v="0"/>
    <s v="Same Day"/>
    <x v="0"/>
    <n v="159906.25"/>
  </r>
  <r>
    <s v="ORD10158"/>
    <x v="131"/>
    <x v="0"/>
    <x v="1"/>
    <x v="2"/>
    <x v="0"/>
    <x v="0"/>
    <n v="43454"/>
    <n v="78217.2"/>
    <x v="3"/>
    <x v="1"/>
    <s v="Standard"/>
    <x v="0"/>
    <n v="312868.8"/>
  </r>
  <r>
    <s v="ORD10159"/>
    <x v="30"/>
    <x v="2"/>
    <x v="2"/>
    <x v="0"/>
    <x v="1"/>
    <x v="7"/>
    <n v="24527"/>
    <n v="2452.7000000000003"/>
    <x v="2"/>
    <x v="1"/>
    <s v="Express"/>
    <x v="0"/>
    <n v="46601.299999999901"/>
  </r>
  <r>
    <s v="ORD10160"/>
    <x v="132"/>
    <x v="0"/>
    <x v="1"/>
    <x v="0"/>
    <x v="1"/>
    <x v="4"/>
    <n v="21381"/>
    <n v="4276.2"/>
    <x v="1"/>
    <x v="1"/>
    <s v="Express"/>
    <x v="0"/>
    <n v="17104.8"/>
  </r>
  <r>
    <s v="ORD10161"/>
    <x v="100"/>
    <x v="1"/>
    <x v="2"/>
    <x v="2"/>
    <x v="4"/>
    <x v="8"/>
    <n v="47862"/>
    <n v="38289.599999999999"/>
    <x v="3"/>
    <x v="2"/>
    <s v="Same Day"/>
    <x v="1"/>
    <n v="344606.4"/>
  </r>
  <r>
    <s v="ORD10162"/>
    <x v="133"/>
    <x v="0"/>
    <x v="2"/>
    <x v="2"/>
    <x v="3"/>
    <x v="6"/>
    <n v="21652"/>
    <n v="12991.2"/>
    <x v="2"/>
    <x v="1"/>
    <s v="Same Day"/>
    <x v="0"/>
    <n v="51964.800000000003"/>
  </r>
  <r>
    <s v="ORD10163"/>
    <x v="130"/>
    <x v="0"/>
    <x v="2"/>
    <x v="1"/>
    <x v="1"/>
    <x v="3"/>
    <n v="38448"/>
    <n v="53827.200000000004"/>
    <x v="3"/>
    <x v="0"/>
    <s v="Same Day"/>
    <x v="1"/>
    <n v="215308.79999999999"/>
  </r>
  <r>
    <s v="ORD10164"/>
    <x v="94"/>
    <x v="4"/>
    <x v="1"/>
    <x v="1"/>
    <x v="1"/>
    <x v="8"/>
    <n v="41001"/>
    <n v="0"/>
    <x v="1"/>
    <x v="1"/>
    <s v="Same Day"/>
    <x v="0"/>
    <n v="328008"/>
  </r>
  <r>
    <s v="ORD10165"/>
    <x v="134"/>
    <x v="0"/>
    <x v="0"/>
    <x v="2"/>
    <x v="0"/>
    <x v="5"/>
    <n v="33951"/>
    <n v="0"/>
    <x v="1"/>
    <x v="2"/>
    <s v="Express"/>
    <x v="1"/>
    <n v="203706"/>
  </r>
  <r>
    <s v="ORD10166"/>
    <x v="65"/>
    <x v="0"/>
    <x v="2"/>
    <x v="0"/>
    <x v="2"/>
    <x v="0"/>
    <n v="22191"/>
    <n v="0"/>
    <x v="3"/>
    <x v="0"/>
    <s v="Standard"/>
    <x v="1"/>
    <n v="199719"/>
  </r>
  <r>
    <s v="ORD10167"/>
    <x v="51"/>
    <x v="1"/>
    <x v="0"/>
    <x v="0"/>
    <x v="4"/>
    <x v="3"/>
    <n v="41511"/>
    <n v="58115.4"/>
    <x v="2"/>
    <x v="0"/>
    <s v="Standard"/>
    <x v="0"/>
    <n v="232461.6"/>
  </r>
  <r>
    <s v="ORD10168"/>
    <x v="135"/>
    <x v="4"/>
    <x v="0"/>
    <x v="0"/>
    <x v="4"/>
    <x v="2"/>
    <n v="10116"/>
    <n v="2529"/>
    <x v="0"/>
    <x v="0"/>
    <s v="Standard"/>
    <x v="0"/>
    <n v="48051"/>
  </r>
  <r>
    <s v="ORD10169"/>
    <x v="9"/>
    <x v="3"/>
    <x v="1"/>
    <x v="0"/>
    <x v="2"/>
    <x v="8"/>
    <n v="10343"/>
    <n v="8274.4"/>
    <x v="0"/>
    <x v="0"/>
    <s v="Standard"/>
    <x v="0"/>
    <n v="74469.600000000006"/>
  </r>
  <r>
    <s v="ORD10170"/>
    <x v="136"/>
    <x v="1"/>
    <x v="0"/>
    <x v="0"/>
    <x v="1"/>
    <x v="7"/>
    <n v="26055"/>
    <n v="5211"/>
    <x v="3"/>
    <x v="1"/>
    <s v="Same Day"/>
    <x v="0"/>
    <n v="46899"/>
  </r>
  <r>
    <s v="ORD10171"/>
    <x v="137"/>
    <x v="1"/>
    <x v="0"/>
    <x v="1"/>
    <x v="0"/>
    <x v="3"/>
    <n v="15781"/>
    <n v="5523.35"/>
    <x v="1"/>
    <x v="2"/>
    <s v="Express"/>
    <x v="2"/>
    <n v="104943.65"/>
  </r>
  <r>
    <s v="ORD10172"/>
    <x v="93"/>
    <x v="3"/>
    <x v="1"/>
    <x v="2"/>
    <x v="0"/>
    <x v="1"/>
    <n v="2107"/>
    <n v="421.40000000000003"/>
    <x v="2"/>
    <x v="0"/>
    <s v="Express"/>
    <x v="0"/>
    <n v="8006.5999999999904"/>
  </r>
  <r>
    <s v="ORD10173"/>
    <x v="32"/>
    <x v="0"/>
    <x v="2"/>
    <x v="1"/>
    <x v="4"/>
    <x v="0"/>
    <n v="29624"/>
    <n v="26661.600000000002"/>
    <x v="2"/>
    <x v="0"/>
    <s v="Express"/>
    <x v="0"/>
    <n v="239954.4"/>
  </r>
  <r>
    <s v="ORD10174"/>
    <x v="138"/>
    <x v="2"/>
    <x v="0"/>
    <x v="0"/>
    <x v="0"/>
    <x v="4"/>
    <n v="23508"/>
    <n v="3526.2"/>
    <x v="1"/>
    <x v="2"/>
    <s v="Same Day"/>
    <x v="0"/>
    <n v="19981.8"/>
  </r>
  <r>
    <s v="ORD10175"/>
    <x v="112"/>
    <x v="4"/>
    <x v="1"/>
    <x v="0"/>
    <x v="2"/>
    <x v="3"/>
    <n v="42184"/>
    <n v="0"/>
    <x v="0"/>
    <x v="1"/>
    <s v="Express"/>
    <x v="1"/>
    <n v="295288"/>
  </r>
  <r>
    <s v="ORD10176"/>
    <x v="139"/>
    <x v="2"/>
    <x v="0"/>
    <x v="0"/>
    <x v="1"/>
    <x v="5"/>
    <n v="41705"/>
    <n v="0"/>
    <x v="2"/>
    <x v="0"/>
    <s v="Same Day"/>
    <x v="0"/>
    <n v="250230"/>
  </r>
  <r>
    <s v="ORD10177"/>
    <x v="140"/>
    <x v="3"/>
    <x v="0"/>
    <x v="0"/>
    <x v="2"/>
    <x v="8"/>
    <n v="46725"/>
    <n v="37380"/>
    <x v="3"/>
    <x v="1"/>
    <s v="Express"/>
    <x v="1"/>
    <n v="336420"/>
  </r>
  <r>
    <s v="ORD10178"/>
    <x v="141"/>
    <x v="1"/>
    <x v="2"/>
    <x v="2"/>
    <x v="3"/>
    <x v="2"/>
    <n v="37142"/>
    <n v="9285.5"/>
    <x v="0"/>
    <x v="1"/>
    <s v="Standard"/>
    <x v="1"/>
    <n v="176424.5"/>
  </r>
  <r>
    <s v="ORD10179"/>
    <x v="142"/>
    <x v="1"/>
    <x v="0"/>
    <x v="0"/>
    <x v="4"/>
    <x v="4"/>
    <n v="27157"/>
    <n v="4073.5499999999997"/>
    <x v="3"/>
    <x v="1"/>
    <s v="Same Day"/>
    <x v="1"/>
    <n v="23083.45"/>
  </r>
  <r>
    <s v="ORD10180"/>
    <x v="111"/>
    <x v="4"/>
    <x v="1"/>
    <x v="2"/>
    <x v="0"/>
    <x v="4"/>
    <n v="25664"/>
    <n v="2566.4"/>
    <x v="0"/>
    <x v="1"/>
    <s v="Express"/>
    <x v="1"/>
    <n v="23097.599999999999"/>
  </r>
  <r>
    <s v="ORD10181"/>
    <x v="143"/>
    <x v="1"/>
    <x v="0"/>
    <x v="0"/>
    <x v="3"/>
    <x v="0"/>
    <n v="48676"/>
    <n v="0"/>
    <x v="1"/>
    <x v="0"/>
    <s v="Standard"/>
    <x v="2"/>
    <n v="438084"/>
  </r>
  <r>
    <s v="ORD10182"/>
    <x v="144"/>
    <x v="1"/>
    <x v="2"/>
    <x v="2"/>
    <x v="0"/>
    <x v="5"/>
    <n v="23849"/>
    <n v="28618.800000000003"/>
    <x v="3"/>
    <x v="0"/>
    <s v="Standard"/>
    <x v="0"/>
    <n v="114475.2"/>
  </r>
  <r>
    <s v="ORD10183"/>
    <x v="145"/>
    <x v="4"/>
    <x v="2"/>
    <x v="1"/>
    <x v="1"/>
    <x v="2"/>
    <n v="42265"/>
    <n v="10566.25"/>
    <x v="3"/>
    <x v="1"/>
    <s v="Standard"/>
    <x v="1"/>
    <n v="200758.75"/>
  </r>
  <r>
    <s v="ORD10184"/>
    <x v="146"/>
    <x v="4"/>
    <x v="1"/>
    <x v="0"/>
    <x v="1"/>
    <x v="4"/>
    <n v="27325"/>
    <n v="5465"/>
    <x v="1"/>
    <x v="1"/>
    <s v="Same Day"/>
    <x v="0"/>
    <n v="21860"/>
  </r>
  <r>
    <s v="ORD10185"/>
    <x v="138"/>
    <x v="3"/>
    <x v="2"/>
    <x v="2"/>
    <x v="1"/>
    <x v="5"/>
    <n v="34958"/>
    <n v="20974.800000000003"/>
    <x v="3"/>
    <x v="2"/>
    <s v="Same Day"/>
    <x v="1"/>
    <n v="188773.2"/>
  </r>
  <r>
    <s v="ORD10186"/>
    <x v="39"/>
    <x v="1"/>
    <x v="0"/>
    <x v="1"/>
    <x v="0"/>
    <x v="5"/>
    <n v="5796"/>
    <n v="0"/>
    <x v="0"/>
    <x v="2"/>
    <s v="Express"/>
    <x v="2"/>
    <n v="34776"/>
  </r>
  <r>
    <s v="ORD10187"/>
    <x v="147"/>
    <x v="1"/>
    <x v="2"/>
    <x v="0"/>
    <x v="3"/>
    <x v="6"/>
    <n v="16574"/>
    <n v="7458.2999999999993"/>
    <x v="2"/>
    <x v="2"/>
    <s v="Standard"/>
    <x v="1"/>
    <n v="42263.7"/>
  </r>
  <r>
    <s v="ORD10188"/>
    <x v="104"/>
    <x v="3"/>
    <x v="1"/>
    <x v="0"/>
    <x v="1"/>
    <x v="8"/>
    <n v="3975"/>
    <n v="6360"/>
    <x v="2"/>
    <x v="0"/>
    <s v="Express"/>
    <x v="0"/>
    <n v="25440"/>
  </r>
  <r>
    <s v="ORD10189"/>
    <x v="13"/>
    <x v="0"/>
    <x v="2"/>
    <x v="0"/>
    <x v="3"/>
    <x v="4"/>
    <n v="27588"/>
    <n v="4138.2"/>
    <x v="1"/>
    <x v="2"/>
    <s v="Express"/>
    <x v="0"/>
    <n v="23449.8"/>
  </r>
  <r>
    <s v="ORD10190"/>
    <x v="148"/>
    <x v="0"/>
    <x v="2"/>
    <x v="2"/>
    <x v="0"/>
    <x v="4"/>
    <n v="21229"/>
    <n v="0"/>
    <x v="0"/>
    <x v="0"/>
    <s v="Standard"/>
    <x v="2"/>
    <n v="21229"/>
  </r>
  <r>
    <s v="ORD10191"/>
    <x v="126"/>
    <x v="0"/>
    <x v="2"/>
    <x v="2"/>
    <x v="3"/>
    <x v="5"/>
    <n v="18645"/>
    <n v="22374"/>
    <x v="3"/>
    <x v="0"/>
    <s v="Express"/>
    <x v="0"/>
    <n v="89496"/>
  </r>
  <r>
    <s v="ORD10192"/>
    <x v="119"/>
    <x v="3"/>
    <x v="1"/>
    <x v="1"/>
    <x v="0"/>
    <x v="4"/>
    <n v="48674"/>
    <n v="7301.0999999999995"/>
    <x v="3"/>
    <x v="0"/>
    <s v="Same Day"/>
    <x v="0"/>
    <n v="41372.9"/>
  </r>
  <r>
    <s v="ORD10193"/>
    <x v="141"/>
    <x v="1"/>
    <x v="2"/>
    <x v="2"/>
    <x v="0"/>
    <x v="5"/>
    <n v="14845"/>
    <n v="13360.5"/>
    <x v="2"/>
    <x v="0"/>
    <s v="Express"/>
    <x v="1"/>
    <n v="75709.5"/>
  </r>
  <r>
    <s v="ORD10194"/>
    <x v="149"/>
    <x v="3"/>
    <x v="2"/>
    <x v="2"/>
    <x v="4"/>
    <x v="4"/>
    <n v="31305"/>
    <n v="6261"/>
    <x v="3"/>
    <x v="2"/>
    <s v="Standard"/>
    <x v="0"/>
    <n v="25044"/>
  </r>
  <r>
    <s v="ORD10195"/>
    <x v="150"/>
    <x v="3"/>
    <x v="0"/>
    <x v="0"/>
    <x v="0"/>
    <x v="5"/>
    <n v="13868"/>
    <n v="0"/>
    <x v="2"/>
    <x v="1"/>
    <s v="Same Day"/>
    <x v="1"/>
    <n v="83208"/>
  </r>
  <r>
    <s v="ORD10196"/>
    <x v="145"/>
    <x v="0"/>
    <x v="1"/>
    <x v="0"/>
    <x v="0"/>
    <x v="6"/>
    <n v="16160"/>
    <n v="7272"/>
    <x v="1"/>
    <x v="1"/>
    <s v="Same Day"/>
    <x v="2"/>
    <n v="41208"/>
  </r>
  <r>
    <s v="ORD10197"/>
    <x v="118"/>
    <x v="2"/>
    <x v="2"/>
    <x v="0"/>
    <x v="2"/>
    <x v="8"/>
    <n v="11557"/>
    <n v="9245.6"/>
    <x v="3"/>
    <x v="1"/>
    <s v="Express"/>
    <x v="0"/>
    <n v="83210.399999999994"/>
  </r>
  <r>
    <s v="ORD10198"/>
    <x v="97"/>
    <x v="1"/>
    <x v="1"/>
    <x v="0"/>
    <x v="1"/>
    <x v="5"/>
    <n v="37403"/>
    <n v="44883.600000000006"/>
    <x v="0"/>
    <x v="2"/>
    <s v="Express"/>
    <x v="1"/>
    <n v="179534.4"/>
  </r>
  <r>
    <s v="ORD10199"/>
    <x v="151"/>
    <x v="0"/>
    <x v="2"/>
    <x v="0"/>
    <x v="4"/>
    <x v="4"/>
    <n v="16004"/>
    <n v="800.2"/>
    <x v="3"/>
    <x v="1"/>
    <s v="Same Day"/>
    <x v="0"/>
    <n v="15203.8"/>
  </r>
  <r>
    <s v="ORD10200"/>
    <x v="150"/>
    <x v="2"/>
    <x v="2"/>
    <x v="0"/>
    <x v="4"/>
    <x v="2"/>
    <n v="14826"/>
    <n v="3706.5"/>
    <x v="2"/>
    <x v="2"/>
    <s v="Express"/>
    <x v="1"/>
    <n v="70423.5"/>
  </r>
  <r>
    <s v="ORD10201"/>
    <x v="107"/>
    <x v="2"/>
    <x v="2"/>
    <x v="0"/>
    <x v="4"/>
    <x v="8"/>
    <n v="28332"/>
    <n v="0"/>
    <x v="1"/>
    <x v="2"/>
    <s v="Standard"/>
    <x v="2"/>
    <n v="226656"/>
  </r>
  <r>
    <s v="ORD10202"/>
    <x v="150"/>
    <x v="4"/>
    <x v="0"/>
    <x v="1"/>
    <x v="2"/>
    <x v="6"/>
    <n v="8151"/>
    <n v="2445.3000000000002"/>
    <x v="2"/>
    <x v="2"/>
    <s v="Express"/>
    <x v="1"/>
    <n v="22007.7"/>
  </r>
  <r>
    <s v="ORD10203"/>
    <x v="56"/>
    <x v="1"/>
    <x v="0"/>
    <x v="1"/>
    <x v="0"/>
    <x v="5"/>
    <n v="6649"/>
    <n v="5984.0999999999995"/>
    <x v="3"/>
    <x v="1"/>
    <s v="Express"/>
    <x v="0"/>
    <n v="33909.9"/>
  </r>
  <r>
    <s v="ORD10204"/>
    <x v="127"/>
    <x v="2"/>
    <x v="0"/>
    <x v="1"/>
    <x v="1"/>
    <x v="2"/>
    <n v="19265"/>
    <n v="4816.25"/>
    <x v="2"/>
    <x v="1"/>
    <s v="Same Day"/>
    <x v="1"/>
    <n v="91508.75"/>
  </r>
  <r>
    <s v="ORD10205"/>
    <x v="150"/>
    <x v="0"/>
    <x v="1"/>
    <x v="1"/>
    <x v="3"/>
    <x v="5"/>
    <n v="36167"/>
    <n v="0"/>
    <x v="2"/>
    <x v="1"/>
    <s v="Express"/>
    <x v="0"/>
    <n v="217002"/>
  </r>
  <r>
    <s v="ORD10206"/>
    <x v="58"/>
    <x v="4"/>
    <x v="1"/>
    <x v="0"/>
    <x v="0"/>
    <x v="4"/>
    <n v="39736"/>
    <n v="3973.6000000000004"/>
    <x v="1"/>
    <x v="0"/>
    <s v="Express"/>
    <x v="2"/>
    <n v="35762.400000000001"/>
  </r>
  <r>
    <s v="ORD10207"/>
    <x v="152"/>
    <x v="1"/>
    <x v="0"/>
    <x v="1"/>
    <x v="2"/>
    <x v="3"/>
    <n v="9330"/>
    <n v="6531"/>
    <x v="0"/>
    <x v="2"/>
    <s v="Express"/>
    <x v="1"/>
    <n v="58779"/>
  </r>
  <r>
    <s v="ORD10208"/>
    <x v="153"/>
    <x v="3"/>
    <x v="1"/>
    <x v="0"/>
    <x v="0"/>
    <x v="0"/>
    <n v="24024"/>
    <n v="0"/>
    <x v="3"/>
    <x v="0"/>
    <s v="Standard"/>
    <x v="0"/>
    <n v="216216"/>
  </r>
  <r>
    <s v="ORD10209"/>
    <x v="59"/>
    <x v="0"/>
    <x v="2"/>
    <x v="1"/>
    <x v="0"/>
    <x v="7"/>
    <n v="41601"/>
    <n v="0"/>
    <x v="1"/>
    <x v="2"/>
    <s v="Express"/>
    <x v="0"/>
    <n v="83202"/>
  </r>
  <r>
    <s v="ORD10210"/>
    <x v="154"/>
    <x v="2"/>
    <x v="2"/>
    <x v="2"/>
    <x v="2"/>
    <x v="2"/>
    <n v="37193"/>
    <n v="27894.75"/>
    <x v="0"/>
    <x v="1"/>
    <s v="Standard"/>
    <x v="0"/>
    <n v="158070.25"/>
  </r>
  <r>
    <s v="ORD10211"/>
    <x v="155"/>
    <x v="2"/>
    <x v="2"/>
    <x v="1"/>
    <x v="4"/>
    <x v="1"/>
    <n v="32075"/>
    <n v="0"/>
    <x v="2"/>
    <x v="2"/>
    <s v="Standard"/>
    <x v="1"/>
    <n v="128300"/>
  </r>
  <r>
    <s v="ORD10212"/>
    <x v="138"/>
    <x v="0"/>
    <x v="0"/>
    <x v="1"/>
    <x v="4"/>
    <x v="5"/>
    <n v="49948"/>
    <n v="44953.2"/>
    <x v="0"/>
    <x v="2"/>
    <s v="Standard"/>
    <x v="1"/>
    <n v="254734.8"/>
  </r>
  <r>
    <s v="ORD10213"/>
    <x v="156"/>
    <x v="2"/>
    <x v="1"/>
    <x v="0"/>
    <x v="1"/>
    <x v="5"/>
    <n v="6254"/>
    <n v="5628.5999999999995"/>
    <x v="2"/>
    <x v="0"/>
    <s v="Standard"/>
    <x v="1"/>
    <n v="31895.3999999999"/>
  </r>
  <r>
    <s v="ORD10214"/>
    <x v="152"/>
    <x v="4"/>
    <x v="0"/>
    <x v="1"/>
    <x v="1"/>
    <x v="7"/>
    <n v="34473"/>
    <n v="13789.2"/>
    <x v="2"/>
    <x v="2"/>
    <s v="Same Day"/>
    <x v="2"/>
    <n v="55156.800000000003"/>
  </r>
  <r>
    <s v="ORD10215"/>
    <x v="50"/>
    <x v="1"/>
    <x v="1"/>
    <x v="2"/>
    <x v="4"/>
    <x v="7"/>
    <n v="42021"/>
    <n v="8404.2000000000007"/>
    <x v="1"/>
    <x v="1"/>
    <s v="Standard"/>
    <x v="0"/>
    <n v="75637.8"/>
  </r>
  <r>
    <s v="ORD10216"/>
    <x v="104"/>
    <x v="4"/>
    <x v="2"/>
    <x v="0"/>
    <x v="3"/>
    <x v="1"/>
    <n v="48717"/>
    <n v="19486.8"/>
    <x v="2"/>
    <x v="2"/>
    <s v="Express"/>
    <x v="0"/>
    <n v="175381.2"/>
  </r>
  <r>
    <s v="ORD10217"/>
    <x v="64"/>
    <x v="2"/>
    <x v="0"/>
    <x v="0"/>
    <x v="0"/>
    <x v="4"/>
    <n v="11032"/>
    <n v="1103.2"/>
    <x v="1"/>
    <x v="2"/>
    <s v="Standard"/>
    <x v="2"/>
    <n v="9928.7999999999993"/>
  </r>
  <r>
    <s v="ORD10218"/>
    <x v="126"/>
    <x v="3"/>
    <x v="1"/>
    <x v="1"/>
    <x v="3"/>
    <x v="0"/>
    <n v="29870"/>
    <n v="53766"/>
    <x v="0"/>
    <x v="2"/>
    <s v="Express"/>
    <x v="2"/>
    <n v="215064"/>
  </r>
  <r>
    <s v="ORD10219"/>
    <x v="143"/>
    <x v="1"/>
    <x v="1"/>
    <x v="0"/>
    <x v="0"/>
    <x v="3"/>
    <n v="49312"/>
    <n v="51777.599999999999"/>
    <x v="0"/>
    <x v="0"/>
    <s v="Standard"/>
    <x v="1"/>
    <n v="293406.39999999898"/>
  </r>
  <r>
    <s v="ORD10220"/>
    <x v="157"/>
    <x v="1"/>
    <x v="2"/>
    <x v="0"/>
    <x v="4"/>
    <x v="3"/>
    <n v="23052"/>
    <n v="24204.6"/>
    <x v="2"/>
    <x v="2"/>
    <s v="Same Day"/>
    <x v="1"/>
    <n v="137159.4"/>
  </r>
  <r>
    <s v="ORD10221"/>
    <x v="158"/>
    <x v="0"/>
    <x v="0"/>
    <x v="0"/>
    <x v="1"/>
    <x v="6"/>
    <n v="23820"/>
    <n v="0"/>
    <x v="1"/>
    <x v="2"/>
    <s v="Standard"/>
    <x v="1"/>
    <n v="71460"/>
  </r>
  <r>
    <s v="ORD10222"/>
    <x v="159"/>
    <x v="0"/>
    <x v="0"/>
    <x v="0"/>
    <x v="1"/>
    <x v="6"/>
    <n v="28507"/>
    <n v="17104.2"/>
    <x v="2"/>
    <x v="0"/>
    <s v="Standard"/>
    <x v="1"/>
    <n v="68416.800000000003"/>
  </r>
  <r>
    <s v="ORD10223"/>
    <x v="160"/>
    <x v="3"/>
    <x v="0"/>
    <x v="0"/>
    <x v="3"/>
    <x v="4"/>
    <n v="47751"/>
    <n v="0"/>
    <x v="1"/>
    <x v="0"/>
    <s v="Same Day"/>
    <x v="1"/>
    <n v="47751"/>
  </r>
  <r>
    <s v="ORD10224"/>
    <x v="161"/>
    <x v="1"/>
    <x v="2"/>
    <x v="0"/>
    <x v="1"/>
    <x v="6"/>
    <n v="1751"/>
    <n v="1050.6000000000001"/>
    <x v="1"/>
    <x v="0"/>
    <s v="Standard"/>
    <x v="1"/>
    <n v="4202.3999999999996"/>
  </r>
  <r>
    <s v="ORD10225"/>
    <x v="110"/>
    <x v="3"/>
    <x v="0"/>
    <x v="2"/>
    <x v="4"/>
    <x v="6"/>
    <n v="48122"/>
    <n v="0"/>
    <x v="1"/>
    <x v="0"/>
    <s v="Express"/>
    <x v="2"/>
    <n v="144366"/>
  </r>
  <r>
    <s v="ORD10226"/>
    <x v="19"/>
    <x v="0"/>
    <x v="2"/>
    <x v="1"/>
    <x v="3"/>
    <x v="1"/>
    <n v="28012"/>
    <n v="5602.4000000000005"/>
    <x v="0"/>
    <x v="1"/>
    <s v="Standard"/>
    <x v="2"/>
    <n v="106445.599999999"/>
  </r>
  <r>
    <s v="ORD10227"/>
    <x v="77"/>
    <x v="0"/>
    <x v="2"/>
    <x v="2"/>
    <x v="0"/>
    <x v="1"/>
    <n v="13999"/>
    <n v="5599.6"/>
    <x v="1"/>
    <x v="1"/>
    <s v="Standard"/>
    <x v="2"/>
    <n v="50396.4"/>
  </r>
  <r>
    <s v="ORD10228"/>
    <x v="162"/>
    <x v="1"/>
    <x v="2"/>
    <x v="0"/>
    <x v="1"/>
    <x v="6"/>
    <n v="26512"/>
    <n v="7953.6"/>
    <x v="0"/>
    <x v="2"/>
    <s v="Standard"/>
    <x v="0"/>
    <n v="71582.399999999994"/>
  </r>
  <r>
    <s v="ORD10229"/>
    <x v="163"/>
    <x v="4"/>
    <x v="1"/>
    <x v="0"/>
    <x v="2"/>
    <x v="8"/>
    <n v="39820"/>
    <n v="47784"/>
    <x v="1"/>
    <x v="1"/>
    <s v="Same Day"/>
    <x v="0"/>
    <n v="270776"/>
  </r>
  <r>
    <s v="ORD10230"/>
    <x v="143"/>
    <x v="2"/>
    <x v="0"/>
    <x v="1"/>
    <x v="1"/>
    <x v="8"/>
    <n v="1649"/>
    <n v="659.6"/>
    <x v="0"/>
    <x v="2"/>
    <s v="Standard"/>
    <x v="1"/>
    <n v="12532.4"/>
  </r>
  <r>
    <s v="ORD10231"/>
    <x v="164"/>
    <x v="0"/>
    <x v="0"/>
    <x v="2"/>
    <x v="0"/>
    <x v="4"/>
    <n v="24626"/>
    <n v="2462.6000000000004"/>
    <x v="3"/>
    <x v="1"/>
    <s v="Standard"/>
    <x v="2"/>
    <n v="22163.4"/>
  </r>
  <r>
    <s v="ORD10232"/>
    <x v="165"/>
    <x v="0"/>
    <x v="2"/>
    <x v="1"/>
    <x v="3"/>
    <x v="3"/>
    <n v="35627"/>
    <n v="37408.35"/>
    <x v="0"/>
    <x v="0"/>
    <s v="Express"/>
    <x v="0"/>
    <n v="211980.65"/>
  </r>
  <r>
    <s v="ORD10233"/>
    <x v="166"/>
    <x v="4"/>
    <x v="2"/>
    <x v="2"/>
    <x v="0"/>
    <x v="7"/>
    <n v="40477"/>
    <n v="4047.7000000000003"/>
    <x v="0"/>
    <x v="0"/>
    <s v="Standard"/>
    <x v="0"/>
    <n v="76906.3"/>
  </r>
  <r>
    <s v="ORD10234"/>
    <x v="95"/>
    <x v="4"/>
    <x v="0"/>
    <x v="0"/>
    <x v="2"/>
    <x v="4"/>
    <n v="31751"/>
    <n v="3175.1000000000004"/>
    <x v="2"/>
    <x v="1"/>
    <s v="Standard"/>
    <x v="2"/>
    <n v="28575.9"/>
  </r>
  <r>
    <s v="ORD10235"/>
    <x v="167"/>
    <x v="3"/>
    <x v="2"/>
    <x v="1"/>
    <x v="4"/>
    <x v="6"/>
    <n v="24477"/>
    <n v="0"/>
    <x v="1"/>
    <x v="1"/>
    <s v="Standard"/>
    <x v="0"/>
    <n v="73431"/>
  </r>
  <r>
    <s v="ORD10236"/>
    <x v="127"/>
    <x v="3"/>
    <x v="0"/>
    <x v="1"/>
    <x v="1"/>
    <x v="1"/>
    <n v="35689"/>
    <n v="28551.200000000001"/>
    <x v="3"/>
    <x v="2"/>
    <s v="Standard"/>
    <x v="0"/>
    <n v="114204.8"/>
  </r>
  <r>
    <s v="ORD10237"/>
    <x v="168"/>
    <x v="2"/>
    <x v="1"/>
    <x v="0"/>
    <x v="3"/>
    <x v="5"/>
    <n v="45412"/>
    <n v="13623.6"/>
    <x v="2"/>
    <x v="2"/>
    <s v="Express"/>
    <x v="2"/>
    <n v="258848.4"/>
  </r>
  <r>
    <s v="ORD10238"/>
    <x v="1"/>
    <x v="2"/>
    <x v="2"/>
    <x v="1"/>
    <x v="4"/>
    <x v="2"/>
    <n v="9837"/>
    <n v="7377.75"/>
    <x v="1"/>
    <x v="2"/>
    <s v="Express"/>
    <x v="0"/>
    <n v="41807.25"/>
  </r>
  <r>
    <s v="ORD10239"/>
    <x v="142"/>
    <x v="1"/>
    <x v="0"/>
    <x v="2"/>
    <x v="0"/>
    <x v="1"/>
    <n v="43458"/>
    <n v="8691.6"/>
    <x v="3"/>
    <x v="0"/>
    <s v="Same Day"/>
    <x v="2"/>
    <n v="165140.4"/>
  </r>
  <r>
    <s v="ORD10240"/>
    <x v="169"/>
    <x v="3"/>
    <x v="2"/>
    <x v="2"/>
    <x v="3"/>
    <x v="8"/>
    <n v="35893"/>
    <n v="43071.6"/>
    <x v="3"/>
    <x v="0"/>
    <s v="Standard"/>
    <x v="0"/>
    <n v="244072.4"/>
  </r>
  <r>
    <s v="ORD10241"/>
    <x v="71"/>
    <x v="0"/>
    <x v="0"/>
    <x v="2"/>
    <x v="4"/>
    <x v="1"/>
    <n v="10024"/>
    <n v="2004.8000000000002"/>
    <x v="3"/>
    <x v="0"/>
    <s v="Same Day"/>
    <x v="2"/>
    <n v="38091.199999999997"/>
  </r>
  <r>
    <s v="ORD10242"/>
    <x v="49"/>
    <x v="3"/>
    <x v="0"/>
    <x v="2"/>
    <x v="3"/>
    <x v="7"/>
    <n v="27150"/>
    <n v="8145"/>
    <x v="1"/>
    <x v="0"/>
    <s v="Same Day"/>
    <x v="0"/>
    <n v="46155"/>
  </r>
  <r>
    <s v="ORD10243"/>
    <x v="170"/>
    <x v="0"/>
    <x v="2"/>
    <x v="0"/>
    <x v="2"/>
    <x v="6"/>
    <n v="23688"/>
    <n v="7106.4000000000005"/>
    <x v="3"/>
    <x v="2"/>
    <s v="Standard"/>
    <x v="0"/>
    <n v="63957.599999999999"/>
  </r>
  <r>
    <s v="ORD10244"/>
    <x v="169"/>
    <x v="4"/>
    <x v="1"/>
    <x v="1"/>
    <x v="2"/>
    <x v="5"/>
    <n v="39208"/>
    <n v="0"/>
    <x v="3"/>
    <x v="0"/>
    <s v="Express"/>
    <x v="2"/>
    <n v="235248"/>
  </r>
  <r>
    <s v="ORD10245"/>
    <x v="116"/>
    <x v="3"/>
    <x v="0"/>
    <x v="2"/>
    <x v="1"/>
    <x v="8"/>
    <n v="49864"/>
    <n v="39891.200000000004"/>
    <x v="2"/>
    <x v="0"/>
    <s v="Express"/>
    <x v="0"/>
    <n v="359020.79999999999"/>
  </r>
  <r>
    <s v="ORD10246"/>
    <x v="171"/>
    <x v="4"/>
    <x v="0"/>
    <x v="0"/>
    <x v="1"/>
    <x v="8"/>
    <n v="415"/>
    <n v="0"/>
    <x v="0"/>
    <x v="0"/>
    <s v="Standard"/>
    <x v="2"/>
    <n v="3320"/>
  </r>
  <r>
    <s v="ORD10247"/>
    <x v="172"/>
    <x v="2"/>
    <x v="0"/>
    <x v="1"/>
    <x v="2"/>
    <x v="0"/>
    <n v="40267"/>
    <n v="36240.300000000003"/>
    <x v="1"/>
    <x v="0"/>
    <s v="Standard"/>
    <x v="2"/>
    <n v="326162.7"/>
  </r>
  <r>
    <s v="ORD10248"/>
    <x v="136"/>
    <x v="2"/>
    <x v="1"/>
    <x v="1"/>
    <x v="3"/>
    <x v="3"/>
    <n v="11723"/>
    <n v="8206.1"/>
    <x v="0"/>
    <x v="1"/>
    <s v="Express"/>
    <x v="0"/>
    <n v="73854.899999999994"/>
  </r>
  <r>
    <s v="ORD10249"/>
    <x v="173"/>
    <x v="1"/>
    <x v="1"/>
    <x v="0"/>
    <x v="2"/>
    <x v="7"/>
    <n v="10564"/>
    <n v="1056.4000000000001"/>
    <x v="2"/>
    <x v="2"/>
    <s v="Standard"/>
    <x v="1"/>
    <n v="20071.599999999999"/>
  </r>
  <r>
    <s v="ORD10250"/>
    <x v="76"/>
    <x v="3"/>
    <x v="2"/>
    <x v="0"/>
    <x v="1"/>
    <x v="8"/>
    <n v="3353"/>
    <n v="5364.8"/>
    <x v="0"/>
    <x v="2"/>
    <s v="Standard"/>
    <x v="0"/>
    <n v="21459.200000000001"/>
  </r>
  <r>
    <s v="ORD10251"/>
    <x v="12"/>
    <x v="4"/>
    <x v="1"/>
    <x v="2"/>
    <x v="2"/>
    <x v="3"/>
    <n v="24034"/>
    <n v="25235.7"/>
    <x v="3"/>
    <x v="0"/>
    <s v="Standard"/>
    <x v="1"/>
    <n v="143002.29999999999"/>
  </r>
  <r>
    <s v="ORD10252"/>
    <x v="86"/>
    <x v="0"/>
    <x v="2"/>
    <x v="1"/>
    <x v="2"/>
    <x v="8"/>
    <n v="34674"/>
    <n v="41608.799999999996"/>
    <x v="3"/>
    <x v="1"/>
    <s v="Express"/>
    <x v="1"/>
    <n v="235783.19999999899"/>
  </r>
  <r>
    <s v="ORD10253"/>
    <x v="174"/>
    <x v="2"/>
    <x v="2"/>
    <x v="1"/>
    <x v="3"/>
    <x v="6"/>
    <n v="43266"/>
    <n v="19469.7"/>
    <x v="1"/>
    <x v="2"/>
    <s v="Same Day"/>
    <x v="0"/>
    <n v="110328.3"/>
  </r>
  <r>
    <s v="ORD10254"/>
    <x v="175"/>
    <x v="2"/>
    <x v="1"/>
    <x v="0"/>
    <x v="4"/>
    <x v="3"/>
    <n v="34535"/>
    <n v="0"/>
    <x v="1"/>
    <x v="2"/>
    <s v="Same Day"/>
    <x v="1"/>
    <n v="241745"/>
  </r>
  <r>
    <s v="ORD10255"/>
    <x v="176"/>
    <x v="0"/>
    <x v="2"/>
    <x v="1"/>
    <x v="1"/>
    <x v="0"/>
    <n v="10600"/>
    <n v="14310"/>
    <x v="1"/>
    <x v="0"/>
    <s v="Standard"/>
    <x v="2"/>
    <n v="81090"/>
  </r>
  <r>
    <s v="ORD10256"/>
    <x v="103"/>
    <x v="4"/>
    <x v="1"/>
    <x v="2"/>
    <x v="3"/>
    <x v="6"/>
    <n v="10545"/>
    <n v="4745.25"/>
    <x v="2"/>
    <x v="0"/>
    <s v="Express"/>
    <x v="2"/>
    <n v="26889.75"/>
  </r>
  <r>
    <s v="ORD10257"/>
    <x v="177"/>
    <x v="4"/>
    <x v="2"/>
    <x v="1"/>
    <x v="2"/>
    <x v="5"/>
    <n v="34096"/>
    <n v="10228.800000000001"/>
    <x v="1"/>
    <x v="2"/>
    <s v="Standard"/>
    <x v="1"/>
    <n v="194347.19999999899"/>
  </r>
  <r>
    <s v="ORD10258"/>
    <x v="71"/>
    <x v="3"/>
    <x v="1"/>
    <x v="0"/>
    <x v="2"/>
    <x v="7"/>
    <n v="20094"/>
    <n v="4018.8"/>
    <x v="2"/>
    <x v="2"/>
    <s v="Express"/>
    <x v="2"/>
    <n v="36169.199999999997"/>
  </r>
  <r>
    <s v="ORD10259"/>
    <x v="165"/>
    <x v="3"/>
    <x v="1"/>
    <x v="0"/>
    <x v="4"/>
    <x v="7"/>
    <n v="29099"/>
    <n v="8729.6999999999989"/>
    <x v="3"/>
    <x v="1"/>
    <s v="Standard"/>
    <x v="0"/>
    <n v="49468.299999999901"/>
  </r>
  <r>
    <s v="ORD10260"/>
    <x v="49"/>
    <x v="1"/>
    <x v="2"/>
    <x v="2"/>
    <x v="1"/>
    <x v="2"/>
    <n v="40835"/>
    <n v="40835"/>
    <x v="0"/>
    <x v="2"/>
    <s v="Express"/>
    <x v="2"/>
    <n v="163340"/>
  </r>
  <r>
    <s v="ORD10261"/>
    <x v="178"/>
    <x v="2"/>
    <x v="0"/>
    <x v="2"/>
    <x v="1"/>
    <x v="2"/>
    <n v="28429"/>
    <n v="21321.75"/>
    <x v="3"/>
    <x v="2"/>
    <s v="Express"/>
    <x v="1"/>
    <n v="120823.25"/>
  </r>
  <r>
    <s v="ORD10262"/>
    <x v="179"/>
    <x v="3"/>
    <x v="2"/>
    <x v="1"/>
    <x v="0"/>
    <x v="3"/>
    <n v="5783"/>
    <n v="0"/>
    <x v="3"/>
    <x v="0"/>
    <s v="Same Day"/>
    <x v="0"/>
    <n v="40481"/>
  </r>
  <r>
    <s v="ORD10263"/>
    <x v="58"/>
    <x v="4"/>
    <x v="1"/>
    <x v="1"/>
    <x v="1"/>
    <x v="7"/>
    <n v="5097"/>
    <n v="0"/>
    <x v="3"/>
    <x v="2"/>
    <s v="Standard"/>
    <x v="2"/>
    <n v="10194"/>
  </r>
  <r>
    <s v="ORD10264"/>
    <x v="70"/>
    <x v="0"/>
    <x v="0"/>
    <x v="0"/>
    <x v="4"/>
    <x v="3"/>
    <n v="6201"/>
    <n v="0"/>
    <x v="1"/>
    <x v="0"/>
    <s v="Same Day"/>
    <x v="0"/>
    <n v="43407"/>
  </r>
  <r>
    <s v="ORD10265"/>
    <x v="180"/>
    <x v="4"/>
    <x v="2"/>
    <x v="2"/>
    <x v="0"/>
    <x v="2"/>
    <n v="44081"/>
    <n v="33060.75"/>
    <x v="1"/>
    <x v="2"/>
    <s v="Same Day"/>
    <x v="1"/>
    <n v="187344.25"/>
  </r>
  <r>
    <s v="ORD10266"/>
    <x v="181"/>
    <x v="2"/>
    <x v="2"/>
    <x v="2"/>
    <x v="0"/>
    <x v="5"/>
    <n v="4767"/>
    <n v="1430.1000000000001"/>
    <x v="1"/>
    <x v="2"/>
    <s v="Express"/>
    <x v="2"/>
    <n v="27171.8999999999"/>
  </r>
  <r>
    <s v="ORD10267"/>
    <x v="182"/>
    <x v="4"/>
    <x v="2"/>
    <x v="2"/>
    <x v="2"/>
    <x v="8"/>
    <n v="9471"/>
    <n v="15153.6"/>
    <x v="0"/>
    <x v="2"/>
    <s v="Standard"/>
    <x v="0"/>
    <n v="60614.400000000001"/>
  </r>
  <r>
    <s v="ORD10268"/>
    <x v="126"/>
    <x v="1"/>
    <x v="0"/>
    <x v="1"/>
    <x v="2"/>
    <x v="1"/>
    <n v="47316"/>
    <n v="28389.599999999999"/>
    <x v="1"/>
    <x v="1"/>
    <s v="Express"/>
    <x v="0"/>
    <n v="160874.4"/>
  </r>
  <r>
    <s v="ORD10269"/>
    <x v="85"/>
    <x v="2"/>
    <x v="1"/>
    <x v="2"/>
    <x v="1"/>
    <x v="3"/>
    <n v="11903"/>
    <n v="4166.05"/>
    <x v="2"/>
    <x v="0"/>
    <s v="Express"/>
    <x v="2"/>
    <n v="79154.95"/>
  </r>
  <r>
    <s v="ORD10270"/>
    <x v="141"/>
    <x v="0"/>
    <x v="2"/>
    <x v="0"/>
    <x v="0"/>
    <x v="5"/>
    <n v="13529"/>
    <n v="4058.7000000000003"/>
    <x v="3"/>
    <x v="1"/>
    <s v="Express"/>
    <x v="0"/>
    <n v="77115.3"/>
  </r>
  <r>
    <s v="ORD10271"/>
    <x v="103"/>
    <x v="1"/>
    <x v="2"/>
    <x v="0"/>
    <x v="2"/>
    <x v="7"/>
    <n v="35709"/>
    <n v="10712.699999999999"/>
    <x v="0"/>
    <x v="2"/>
    <s v="Standard"/>
    <x v="0"/>
    <n v="60705.299999999901"/>
  </r>
  <r>
    <s v="ORD10272"/>
    <x v="170"/>
    <x v="2"/>
    <x v="2"/>
    <x v="1"/>
    <x v="4"/>
    <x v="8"/>
    <n v="6456"/>
    <n v="7747.2"/>
    <x v="0"/>
    <x v="1"/>
    <s v="Standard"/>
    <x v="1"/>
    <n v="43900.799999999901"/>
  </r>
  <r>
    <s v="ORD10273"/>
    <x v="70"/>
    <x v="0"/>
    <x v="2"/>
    <x v="1"/>
    <x v="2"/>
    <x v="0"/>
    <n v="428"/>
    <n v="192.60000000000002"/>
    <x v="0"/>
    <x v="0"/>
    <s v="Express"/>
    <x v="1"/>
    <n v="3659.3999999999901"/>
  </r>
  <r>
    <s v="ORD10274"/>
    <x v="74"/>
    <x v="1"/>
    <x v="2"/>
    <x v="2"/>
    <x v="2"/>
    <x v="2"/>
    <n v="24946"/>
    <n v="6236.5"/>
    <x v="0"/>
    <x v="2"/>
    <s v="Standard"/>
    <x v="1"/>
    <n v="118493.5"/>
  </r>
  <r>
    <s v="ORD10275"/>
    <x v="14"/>
    <x v="1"/>
    <x v="1"/>
    <x v="1"/>
    <x v="0"/>
    <x v="1"/>
    <n v="16878"/>
    <n v="3375.6000000000004"/>
    <x v="0"/>
    <x v="1"/>
    <s v="Express"/>
    <x v="1"/>
    <n v="64136.3999999999"/>
  </r>
  <r>
    <s v="ORD10276"/>
    <x v="13"/>
    <x v="2"/>
    <x v="1"/>
    <x v="0"/>
    <x v="0"/>
    <x v="5"/>
    <n v="37252"/>
    <n v="33526.799999999996"/>
    <x v="2"/>
    <x v="1"/>
    <s v="Standard"/>
    <x v="1"/>
    <n v="189985.19999999899"/>
  </r>
  <r>
    <s v="ORD10277"/>
    <x v="59"/>
    <x v="3"/>
    <x v="2"/>
    <x v="2"/>
    <x v="3"/>
    <x v="8"/>
    <n v="46232"/>
    <n v="18492.8"/>
    <x v="3"/>
    <x v="0"/>
    <s v="Standard"/>
    <x v="1"/>
    <n v="351363.2"/>
  </r>
  <r>
    <s v="ORD10278"/>
    <x v="183"/>
    <x v="1"/>
    <x v="0"/>
    <x v="0"/>
    <x v="4"/>
    <x v="6"/>
    <n v="46358"/>
    <n v="0"/>
    <x v="0"/>
    <x v="1"/>
    <s v="Same Day"/>
    <x v="2"/>
    <n v="139074"/>
  </r>
  <r>
    <s v="ORD10279"/>
    <x v="22"/>
    <x v="1"/>
    <x v="1"/>
    <x v="2"/>
    <x v="0"/>
    <x v="4"/>
    <n v="23385"/>
    <n v="3507.75"/>
    <x v="3"/>
    <x v="0"/>
    <s v="Express"/>
    <x v="1"/>
    <n v="19877.25"/>
  </r>
  <r>
    <s v="ORD10280"/>
    <x v="140"/>
    <x v="0"/>
    <x v="0"/>
    <x v="1"/>
    <x v="1"/>
    <x v="1"/>
    <n v="33886"/>
    <n v="0"/>
    <x v="1"/>
    <x v="2"/>
    <s v="Same Day"/>
    <x v="0"/>
    <n v="135544"/>
  </r>
  <r>
    <s v="ORD10281"/>
    <x v="184"/>
    <x v="4"/>
    <x v="1"/>
    <x v="2"/>
    <x v="4"/>
    <x v="1"/>
    <n v="11645"/>
    <n v="4658"/>
    <x v="0"/>
    <x v="2"/>
    <s v="Same Day"/>
    <x v="2"/>
    <n v="41922"/>
  </r>
  <r>
    <s v="ORD10282"/>
    <x v="150"/>
    <x v="2"/>
    <x v="2"/>
    <x v="2"/>
    <x v="4"/>
    <x v="4"/>
    <n v="33466"/>
    <n v="5019.8999999999996"/>
    <x v="0"/>
    <x v="1"/>
    <s v="Express"/>
    <x v="0"/>
    <n v="28446.1"/>
  </r>
  <r>
    <s v="ORD10283"/>
    <x v="185"/>
    <x v="2"/>
    <x v="1"/>
    <x v="0"/>
    <x v="0"/>
    <x v="0"/>
    <n v="3009"/>
    <n v="2708.1000000000004"/>
    <x v="3"/>
    <x v="2"/>
    <s v="Express"/>
    <x v="1"/>
    <n v="24372.9"/>
  </r>
  <r>
    <s v="ORD10284"/>
    <x v="51"/>
    <x v="3"/>
    <x v="2"/>
    <x v="0"/>
    <x v="4"/>
    <x v="6"/>
    <n v="37929"/>
    <n v="5689.35"/>
    <x v="0"/>
    <x v="2"/>
    <s v="Standard"/>
    <x v="1"/>
    <n v="108097.65"/>
  </r>
  <r>
    <s v="ORD10285"/>
    <x v="180"/>
    <x v="3"/>
    <x v="1"/>
    <x v="2"/>
    <x v="0"/>
    <x v="2"/>
    <n v="41985"/>
    <n v="10496.25"/>
    <x v="0"/>
    <x v="1"/>
    <s v="Express"/>
    <x v="0"/>
    <n v="199428.75"/>
  </r>
  <r>
    <s v="ORD10286"/>
    <x v="106"/>
    <x v="2"/>
    <x v="2"/>
    <x v="1"/>
    <x v="2"/>
    <x v="5"/>
    <n v="36747"/>
    <n v="44096.4"/>
    <x v="0"/>
    <x v="2"/>
    <s v="Same Day"/>
    <x v="0"/>
    <n v="176385.6"/>
  </r>
  <r>
    <s v="ORD10287"/>
    <x v="178"/>
    <x v="3"/>
    <x v="2"/>
    <x v="1"/>
    <x v="3"/>
    <x v="8"/>
    <n v="43018"/>
    <n v="17207.2"/>
    <x v="2"/>
    <x v="1"/>
    <s v="Same Day"/>
    <x v="0"/>
    <n v="326936.8"/>
  </r>
  <r>
    <s v="ORD10288"/>
    <x v="103"/>
    <x v="0"/>
    <x v="2"/>
    <x v="0"/>
    <x v="2"/>
    <x v="5"/>
    <n v="35086"/>
    <n v="21051.600000000002"/>
    <x v="2"/>
    <x v="0"/>
    <s v="Express"/>
    <x v="2"/>
    <n v="189464.4"/>
  </r>
  <r>
    <s v="ORD10289"/>
    <x v="186"/>
    <x v="2"/>
    <x v="2"/>
    <x v="1"/>
    <x v="0"/>
    <x v="6"/>
    <n v="6591"/>
    <n v="988.65000000000009"/>
    <x v="0"/>
    <x v="0"/>
    <s v="Same Day"/>
    <x v="1"/>
    <n v="18784.349999999999"/>
  </r>
  <r>
    <s v="ORD10290"/>
    <x v="1"/>
    <x v="3"/>
    <x v="0"/>
    <x v="0"/>
    <x v="0"/>
    <x v="5"/>
    <n v="345"/>
    <n v="310.5"/>
    <x v="2"/>
    <x v="0"/>
    <s v="Standard"/>
    <x v="0"/>
    <n v="1759.5"/>
  </r>
  <r>
    <s v="ORD10291"/>
    <x v="76"/>
    <x v="2"/>
    <x v="2"/>
    <x v="1"/>
    <x v="2"/>
    <x v="4"/>
    <n v="14129"/>
    <n v="706.45"/>
    <x v="1"/>
    <x v="1"/>
    <s v="Same Day"/>
    <x v="1"/>
    <n v="13422.55"/>
  </r>
  <r>
    <s v="ORD10292"/>
    <x v="187"/>
    <x v="4"/>
    <x v="0"/>
    <x v="2"/>
    <x v="1"/>
    <x v="1"/>
    <n v="24526"/>
    <n v="19620.8"/>
    <x v="0"/>
    <x v="1"/>
    <s v="Standard"/>
    <x v="0"/>
    <n v="78483.199999999997"/>
  </r>
  <r>
    <s v="ORD10293"/>
    <x v="62"/>
    <x v="1"/>
    <x v="0"/>
    <x v="0"/>
    <x v="1"/>
    <x v="5"/>
    <n v="30191"/>
    <n v="9057.3000000000011"/>
    <x v="1"/>
    <x v="2"/>
    <s v="Same Day"/>
    <x v="1"/>
    <n v="172088.69999999899"/>
  </r>
  <r>
    <s v="ORD10294"/>
    <x v="90"/>
    <x v="2"/>
    <x v="2"/>
    <x v="0"/>
    <x v="1"/>
    <x v="3"/>
    <n v="47885"/>
    <n v="33519.5"/>
    <x v="3"/>
    <x v="2"/>
    <s v="Standard"/>
    <x v="2"/>
    <n v="301675.5"/>
  </r>
  <r>
    <s v="ORD10295"/>
    <x v="74"/>
    <x v="1"/>
    <x v="0"/>
    <x v="2"/>
    <x v="0"/>
    <x v="6"/>
    <n v="37533"/>
    <n v="11259.900000000001"/>
    <x v="1"/>
    <x v="2"/>
    <s v="Standard"/>
    <x v="1"/>
    <n v="101339.1"/>
  </r>
  <r>
    <s v="ORD10296"/>
    <x v="188"/>
    <x v="3"/>
    <x v="1"/>
    <x v="0"/>
    <x v="4"/>
    <x v="0"/>
    <n v="16776"/>
    <n v="7549.2000000000007"/>
    <x v="3"/>
    <x v="2"/>
    <s v="Express"/>
    <x v="0"/>
    <n v="143434.79999999999"/>
  </r>
  <r>
    <s v="ORD10297"/>
    <x v="22"/>
    <x v="1"/>
    <x v="2"/>
    <x v="1"/>
    <x v="0"/>
    <x v="3"/>
    <n v="39605"/>
    <n v="27723.5"/>
    <x v="0"/>
    <x v="2"/>
    <s v="Standard"/>
    <x v="1"/>
    <n v="249511.5"/>
  </r>
  <r>
    <s v="ORD10298"/>
    <x v="189"/>
    <x v="2"/>
    <x v="0"/>
    <x v="1"/>
    <x v="4"/>
    <x v="4"/>
    <n v="28664"/>
    <n v="2866.4"/>
    <x v="3"/>
    <x v="1"/>
    <s v="Express"/>
    <x v="2"/>
    <n v="25797.599999999999"/>
  </r>
  <r>
    <s v="ORD10299"/>
    <x v="91"/>
    <x v="4"/>
    <x v="2"/>
    <x v="0"/>
    <x v="2"/>
    <x v="7"/>
    <n v="8443"/>
    <n v="3377.2000000000003"/>
    <x v="3"/>
    <x v="1"/>
    <s v="Same Day"/>
    <x v="2"/>
    <n v="13508.8"/>
  </r>
  <r>
    <s v="ORD10300"/>
    <x v="21"/>
    <x v="3"/>
    <x v="2"/>
    <x v="1"/>
    <x v="3"/>
    <x v="4"/>
    <n v="31801"/>
    <n v="4770.1499999999996"/>
    <x v="1"/>
    <x v="0"/>
    <s v="Same Day"/>
    <x v="1"/>
    <n v="27030.85"/>
  </r>
  <r>
    <s v="ORD10301"/>
    <x v="70"/>
    <x v="2"/>
    <x v="2"/>
    <x v="0"/>
    <x v="4"/>
    <x v="0"/>
    <n v="2610"/>
    <n v="4698"/>
    <x v="1"/>
    <x v="0"/>
    <s v="Same Day"/>
    <x v="0"/>
    <n v="18792"/>
  </r>
  <r>
    <s v="ORD10302"/>
    <x v="40"/>
    <x v="3"/>
    <x v="0"/>
    <x v="2"/>
    <x v="1"/>
    <x v="0"/>
    <n v="2020"/>
    <n v="0"/>
    <x v="1"/>
    <x v="0"/>
    <s v="Standard"/>
    <x v="2"/>
    <n v="18180"/>
  </r>
  <r>
    <s v="ORD10303"/>
    <x v="190"/>
    <x v="0"/>
    <x v="1"/>
    <x v="0"/>
    <x v="0"/>
    <x v="3"/>
    <n v="35489"/>
    <n v="49684.600000000006"/>
    <x v="0"/>
    <x v="0"/>
    <s v="Same Day"/>
    <x v="2"/>
    <n v="198738.4"/>
  </r>
  <r>
    <s v="ORD10304"/>
    <x v="136"/>
    <x v="1"/>
    <x v="1"/>
    <x v="2"/>
    <x v="2"/>
    <x v="6"/>
    <n v="38850"/>
    <n v="5827.5"/>
    <x v="0"/>
    <x v="1"/>
    <s v="Same Day"/>
    <x v="1"/>
    <n v="110722.5"/>
  </r>
  <r>
    <s v="ORD10305"/>
    <x v="98"/>
    <x v="0"/>
    <x v="0"/>
    <x v="1"/>
    <x v="1"/>
    <x v="2"/>
    <n v="34835"/>
    <n v="26126.25"/>
    <x v="1"/>
    <x v="1"/>
    <s v="Express"/>
    <x v="2"/>
    <n v="148048.75"/>
  </r>
  <r>
    <s v="ORD10306"/>
    <x v="191"/>
    <x v="2"/>
    <x v="2"/>
    <x v="2"/>
    <x v="2"/>
    <x v="1"/>
    <n v="7665"/>
    <n v="1533"/>
    <x v="0"/>
    <x v="1"/>
    <s v="Express"/>
    <x v="2"/>
    <n v="29127"/>
  </r>
  <r>
    <s v="ORD10307"/>
    <x v="24"/>
    <x v="4"/>
    <x v="0"/>
    <x v="1"/>
    <x v="3"/>
    <x v="3"/>
    <n v="32639"/>
    <n v="0"/>
    <x v="0"/>
    <x v="2"/>
    <s v="Same Day"/>
    <x v="0"/>
    <n v="228473"/>
  </r>
  <r>
    <s v="ORD10308"/>
    <x v="192"/>
    <x v="3"/>
    <x v="0"/>
    <x v="0"/>
    <x v="0"/>
    <x v="0"/>
    <n v="27514"/>
    <n v="37143.9"/>
    <x v="3"/>
    <x v="2"/>
    <s v="Same Day"/>
    <x v="0"/>
    <n v="210482.1"/>
  </r>
  <r>
    <s v="ORD10309"/>
    <x v="193"/>
    <x v="1"/>
    <x v="0"/>
    <x v="1"/>
    <x v="0"/>
    <x v="7"/>
    <n v="44429"/>
    <n v="8885.8000000000011"/>
    <x v="3"/>
    <x v="0"/>
    <s v="Standard"/>
    <x v="0"/>
    <n v="79972.2"/>
  </r>
  <r>
    <s v="ORD10310"/>
    <x v="194"/>
    <x v="3"/>
    <x v="2"/>
    <x v="0"/>
    <x v="3"/>
    <x v="8"/>
    <n v="19783"/>
    <n v="31652.800000000003"/>
    <x v="1"/>
    <x v="2"/>
    <s v="Standard"/>
    <x v="1"/>
    <n v="126611.2"/>
  </r>
  <r>
    <s v="ORD10311"/>
    <x v="195"/>
    <x v="2"/>
    <x v="0"/>
    <x v="0"/>
    <x v="0"/>
    <x v="0"/>
    <n v="27355"/>
    <n v="12309.75"/>
    <x v="0"/>
    <x v="1"/>
    <s v="Same Day"/>
    <x v="2"/>
    <n v="233885.25"/>
  </r>
  <r>
    <s v="ORD10312"/>
    <x v="196"/>
    <x v="3"/>
    <x v="2"/>
    <x v="2"/>
    <x v="4"/>
    <x v="0"/>
    <n v="39071"/>
    <n v="0"/>
    <x v="3"/>
    <x v="0"/>
    <s v="Express"/>
    <x v="1"/>
    <n v="351639"/>
  </r>
  <r>
    <s v="ORD10313"/>
    <x v="34"/>
    <x v="1"/>
    <x v="0"/>
    <x v="2"/>
    <x v="2"/>
    <x v="3"/>
    <n v="12397"/>
    <n v="8677.9"/>
    <x v="2"/>
    <x v="0"/>
    <s v="Same Day"/>
    <x v="2"/>
    <n v="78101.100000000006"/>
  </r>
  <r>
    <s v="ORD10314"/>
    <x v="53"/>
    <x v="2"/>
    <x v="1"/>
    <x v="2"/>
    <x v="1"/>
    <x v="0"/>
    <n v="29711"/>
    <n v="53479.8"/>
    <x v="0"/>
    <x v="2"/>
    <s v="Standard"/>
    <x v="2"/>
    <n v="213919.2"/>
  </r>
  <r>
    <s v="ORD10315"/>
    <x v="112"/>
    <x v="3"/>
    <x v="0"/>
    <x v="2"/>
    <x v="3"/>
    <x v="0"/>
    <n v="15624"/>
    <n v="14061.6"/>
    <x v="2"/>
    <x v="0"/>
    <s v="Express"/>
    <x v="2"/>
    <n v="126554.4"/>
  </r>
  <r>
    <s v="ORD10316"/>
    <x v="197"/>
    <x v="4"/>
    <x v="0"/>
    <x v="1"/>
    <x v="4"/>
    <x v="6"/>
    <n v="49021"/>
    <n v="29412.600000000002"/>
    <x v="1"/>
    <x v="2"/>
    <s v="Express"/>
    <x v="0"/>
    <n v="117650.4"/>
  </r>
  <r>
    <s v="ORD10317"/>
    <x v="198"/>
    <x v="2"/>
    <x v="1"/>
    <x v="1"/>
    <x v="1"/>
    <x v="1"/>
    <n v="440"/>
    <n v="264"/>
    <x v="0"/>
    <x v="2"/>
    <s v="Standard"/>
    <x v="1"/>
    <n v="1496"/>
  </r>
  <r>
    <s v="ORD10318"/>
    <x v="21"/>
    <x v="2"/>
    <x v="2"/>
    <x v="1"/>
    <x v="1"/>
    <x v="7"/>
    <n v="4831"/>
    <n v="966.2"/>
    <x v="1"/>
    <x v="0"/>
    <s v="Same Day"/>
    <x v="1"/>
    <n v="8695.7999999999993"/>
  </r>
  <r>
    <s v="ORD10319"/>
    <x v="135"/>
    <x v="4"/>
    <x v="2"/>
    <x v="0"/>
    <x v="3"/>
    <x v="6"/>
    <n v="9799"/>
    <n v="2939.7000000000003"/>
    <x v="1"/>
    <x v="2"/>
    <s v="Same Day"/>
    <x v="2"/>
    <n v="26457.3"/>
  </r>
  <r>
    <s v="ORD10320"/>
    <x v="166"/>
    <x v="0"/>
    <x v="0"/>
    <x v="1"/>
    <x v="4"/>
    <x v="2"/>
    <n v="44662"/>
    <n v="22331"/>
    <x v="1"/>
    <x v="2"/>
    <s v="Same Day"/>
    <x v="1"/>
    <n v="200979"/>
  </r>
  <r>
    <s v="ORD10321"/>
    <x v="130"/>
    <x v="1"/>
    <x v="1"/>
    <x v="1"/>
    <x v="1"/>
    <x v="2"/>
    <n v="24858"/>
    <n v="18643.5"/>
    <x v="1"/>
    <x v="2"/>
    <s v="Standard"/>
    <x v="0"/>
    <n v="105646.5"/>
  </r>
  <r>
    <s v="ORD10322"/>
    <x v="199"/>
    <x v="0"/>
    <x v="2"/>
    <x v="1"/>
    <x v="1"/>
    <x v="5"/>
    <n v="38045"/>
    <n v="0"/>
    <x v="1"/>
    <x v="2"/>
    <s v="Express"/>
    <x v="1"/>
    <n v="228270"/>
  </r>
  <r>
    <s v="ORD10323"/>
    <x v="70"/>
    <x v="3"/>
    <x v="0"/>
    <x v="2"/>
    <x v="4"/>
    <x v="3"/>
    <n v="32774"/>
    <n v="45883.600000000006"/>
    <x v="0"/>
    <x v="0"/>
    <s v="Standard"/>
    <x v="2"/>
    <n v="183534.4"/>
  </r>
  <r>
    <s v="ORD10324"/>
    <x v="170"/>
    <x v="4"/>
    <x v="1"/>
    <x v="1"/>
    <x v="0"/>
    <x v="3"/>
    <n v="36736"/>
    <n v="25715.200000000001"/>
    <x v="2"/>
    <x v="1"/>
    <s v="Same Day"/>
    <x v="0"/>
    <n v="231436.79999999999"/>
  </r>
  <r>
    <s v="ORD10325"/>
    <x v="200"/>
    <x v="0"/>
    <x v="2"/>
    <x v="0"/>
    <x v="1"/>
    <x v="4"/>
    <n v="42110"/>
    <n v="6316.5"/>
    <x v="0"/>
    <x v="1"/>
    <s v="Standard"/>
    <x v="0"/>
    <n v="35793.5"/>
  </r>
  <r>
    <s v="ORD10326"/>
    <x v="54"/>
    <x v="2"/>
    <x v="2"/>
    <x v="2"/>
    <x v="2"/>
    <x v="7"/>
    <n v="8195"/>
    <n v="0"/>
    <x v="0"/>
    <x v="2"/>
    <s v="Express"/>
    <x v="2"/>
    <n v="16390"/>
  </r>
  <r>
    <s v="ORD10327"/>
    <x v="20"/>
    <x v="3"/>
    <x v="1"/>
    <x v="0"/>
    <x v="4"/>
    <x v="0"/>
    <n v="25386"/>
    <n v="45694.8"/>
    <x v="0"/>
    <x v="2"/>
    <s v="Standard"/>
    <x v="1"/>
    <n v="182779.2"/>
  </r>
  <r>
    <s v="ORD10328"/>
    <x v="28"/>
    <x v="3"/>
    <x v="1"/>
    <x v="1"/>
    <x v="1"/>
    <x v="7"/>
    <n v="29445"/>
    <n v="8833.5"/>
    <x v="3"/>
    <x v="2"/>
    <s v="Same Day"/>
    <x v="2"/>
    <n v="50056.5"/>
  </r>
  <r>
    <s v="ORD10329"/>
    <x v="201"/>
    <x v="0"/>
    <x v="1"/>
    <x v="2"/>
    <x v="3"/>
    <x v="5"/>
    <n v="23013"/>
    <n v="27615.600000000002"/>
    <x v="3"/>
    <x v="1"/>
    <s v="Express"/>
    <x v="1"/>
    <n v="110462.39999999999"/>
  </r>
  <r>
    <s v="ORD10330"/>
    <x v="104"/>
    <x v="0"/>
    <x v="1"/>
    <x v="0"/>
    <x v="2"/>
    <x v="4"/>
    <n v="13476"/>
    <n v="1347.6000000000001"/>
    <x v="0"/>
    <x v="2"/>
    <s v="Standard"/>
    <x v="1"/>
    <n v="12128.4"/>
  </r>
  <r>
    <s v="ORD10331"/>
    <x v="153"/>
    <x v="4"/>
    <x v="0"/>
    <x v="1"/>
    <x v="1"/>
    <x v="6"/>
    <n v="20189"/>
    <n v="0"/>
    <x v="2"/>
    <x v="0"/>
    <s v="Standard"/>
    <x v="0"/>
    <n v="60567"/>
  </r>
  <r>
    <s v="ORD10332"/>
    <x v="193"/>
    <x v="1"/>
    <x v="1"/>
    <x v="0"/>
    <x v="2"/>
    <x v="7"/>
    <n v="12946"/>
    <n v="3883.7999999999997"/>
    <x v="0"/>
    <x v="0"/>
    <s v="Express"/>
    <x v="2"/>
    <n v="22008.2"/>
  </r>
  <r>
    <s v="ORD10333"/>
    <x v="202"/>
    <x v="0"/>
    <x v="2"/>
    <x v="0"/>
    <x v="2"/>
    <x v="6"/>
    <n v="44443"/>
    <n v="0"/>
    <x v="1"/>
    <x v="0"/>
    <s v="Express"/>
    <x v="0"/>
    <n v="133329"/>
  </r>
  <r>
    <s v="ORD10334"/>
    <x v="203"/>
    <x v="0"/>
    <x v="2"/>
    <x v="0"/>
    <x v="0"/>
    <x v="2"/>
    <n v="18757"/>
    <n v="9378.5"/>
    <x v="3"/>
    <x v="1"/>
    <s v="Same Day"/>
    <x v="2"/>
    <n v="84406.5"/>
  </r>
  <r>
    <s v="ORD10335"/>
    <x v="103"/>
    <x v="2"/>
    <x v="0"/>
    <x v="1"/>
    <x v="2"/>
    <x v="5"/>
    <n v="28260"/>
    <n v="0"/>
    <x v="3"/>
    <x v="2"/>
    <s v="Express"/>
    <x v="2"/>
    <n v="169560"/>
  </r>
  <r>
    <s v="ORD10336"/>
    <x v="141"/>
    <x v="3"/>
    <x v="2"/>
    <x v="1"/>
    <x v="0"/>
    <x v="0"/>
    <n v="6768"/>
    <n v="0"/>
    <x v="0"/>
    <x v="2"/>
    <s v="Same Day"/>
    <x v="0"/>
    <n v="60912"/>
  </r>
  <r>
    <s v="ORD10337"/>
    <x v="182"/>
    <x v="1"/>
    <x v="2"/>
    <x v="0"/>
    <x v="4"/>
    <x v="1"/>
    <n v="35569"/>
    <n v="7113.8"/>
    <x v="0"/>
    <x v="2"/>
    <s v="Standard"/>
    <x v="2"/>
    <n v="135162.19999999899"/>
  </r>
  <r>
    <s v="ORD10338"/>
    <x v="77"/>
    <x v="2"/>
    <x v="1"/>
    <x v="2"/>
    <x v="0"/>
    <x v="3"/>
    <n v="19241"/>
    <n v="0"/>
    <x v="2"/>
    <x v="1"/>
    <s v="Same Day"/>
    <x v="2"/>
    <n v="134687"/>
  </r>
  <r>
    <s v="ORD10339"/>
    <x v="1"/>
    <x v="4"/>
    <x v="2"/>
    <x v="2"/>
    <x v="3"/>
    <x v="5"/>
    <n v="6280"/>
    <n v="7536"/>
    <x v="2"/>
    <x v="1"/>
    <s v="Standard"/>
    <x v="1"/>
    <n v="30144"/>
  </r>
  <r>
    <s v="ORD10340"/>
    <x v="204"/>
    <x v="4"/>
    <x v="0"/>
    <x v="1"/>
    <x v="1"/>
    <x v="7"/>
    <n v="14054"/>
    <n v="4216.2"/>
    <x v="1"/>
    <x v="1"/>
    <s v="Express"/>
    <x v="2"/>
    <n v="23891.8"/>
  </r>
  <r>
    <s v="ORD10341"/>
    <x v="205"/>
    <x v="0"/>
    <x v="1"/>
    <x v="1"/>
    <x v="4"/>
    <x v="8"/>
    <n v="2359"/>
    <n v="943.6"/>
    <x v="0"/>
    <x v="1"/>
    <s v="Standard"/>
    <x v="2"/>
    <n v="17928.3999999999"/>
  </r>
  <r>
    <s v="ORD10342"/>
    <x v="206"/>
    <x v="0"/>
    <x v="1"/>
    <x v="1"/>
    <x v="4"/>
    <x v="3"/>
    <n v="27225"/>
    <n v="28586.25"/>
    <x v="0"/>
    <x v="0"/>
    <s v="Express"/>
    <x v="0"/>
    <n v="161988.75"/>
  </r>
  <r>
    <s v="ORD10343"/>
    <x v="103"/>
    <x v="4"/>
    <x v="0"/>
    <x v="1"/>
    <x v="3"/>
    <x v="3"/>
    <n v="41281"/>
    <n v="43345.049999999996"/>
    <x v="0"/>
    <x v="1"/>
    <s v="Standard"/>
    <x v="0"/>
    <n v="245621.94999999899"/>
  </r>
  <r>
    <s v="ORD10344"/>
    <x v="31"/>
    <x v="0"/>
    <x v="1"/>
    <x v="1"/>
    <x v="0"/>
    <x v="8"/>
    <n v="4568"/>
    <n v="3654.4"/>
    <x v="3"/>
    <x v="1"/>
    <s v="Standard"/>
    <x v="2"/>
    <n v="32889.599999999999"/>
  </r>
  <r>
    <s v="ORD10345"/>
    <x v="140"/>
    <x v="1"/>
    <x v="1"/>
    <x v="2"/>
    <x v="1"/>
    <x v="4"/>
    <n v="34285"/>
    <n v="3428.5"/>
    <x v="1"/>
    <x v="1"/>
    <s v="Standard"/>
    <x v="1"/>
    <n v="30856.5"/>
  </r>
  <r>
    <s v="ORD10346"/>
    <x v="63"/>
    <x v="0"/>
    <x v="0"/>
    <x v="1"/>
    <x v="0"/>
    <x v="4"/>
    <n v="27294"/>
    <n v="1364.7"/>
    <x v="2"/>
    <x v="2"/>
    <s v="Standard"/>
    <x v="1"/>
    <n v="25929.3"/>
  </r>
  <r>
    <s v="ORD10347"/>
    <x v="25"/>
    <x v="3"/>
    <x v="1"/>
    <x v="0"/>
    <x v="2"/>
    <x v="8"/>
    <n v="46240"/>
    <n v="36992"/>
    <x v="3"/>
    <x v="2"/>
    <s v="Same Day"/>
    <x v="0"/>
    <n v="332928"/>
  </r>
  <r>
    <s v="ORD10348"/>
    <x v="22"/>
    <x v="0"/>
    <x v="0"/>
    <x v="0"/>
    <x v="0"/>
    <x v="1"/>
    <n v="1430"/>
    <n v="572"/>
    <x v="3"/>
    <x v="2"/>
    <s v="Standard"/>
    <x v="2"/>
    <n v="5148"/>
  </r>
  <r>
    <s v="ORD10349"/>
    <x v="207"/>
    <x v="2"/>
    <x v="0"/>
    <x v="2"/>
    <x v="4"/>
    <x v="2"/>
    <n v="17717"/>
    <n v="8858.5"/>
    <x v="3"/>
    <x v="0"/>
    <s v="Same Day"/>
    <x v="2"/>
    <n v="79726.5"/>
  </r>
  <r>
    <s v="ORD10350"/>
    <x v="208"/>
    <x v="1"/>
    <x v="2"/>
    <x v="0"/>
    <x v="1"/>
    <x v="8"/>
    <n v="24191"/>
    <n v="29029.200000000001"/>
    <x v="3"/>
    <x v="0"/>
    <s v="Express"/>
    <x v="1"/>
    <n v="164498.79999999999"/>
  </r>
  <r>
    <s v="ORD10351"/>
    <x v="136"/>
    <x v="2"/>
    <x v="2"/>
    <x v="2"/>
    <x v="0"/>
    <x v="2"/>
    <n v="1501"/>
    <n v="375.25"/>
    <x v="1"/>
    <x v="1"/>
    <s v="Express"/>
    <x v="1"/>
    <n v="7129.75"/>
  </r>
  <r>
    <s v="ORD10352"/>
    <x v="209"/>
    <x v="2"/>
    <x v="1"/>
    <x v="2"/>
    <x v="1"/>
    <x v="1"/>
    <n v="28810"/>
    <n v="17286"/>
    <x v="0"/>
    <x v="2"/>
    <s v="Same Day"/>
    <x v="1"/>
    <n v="97954"/>
  </r>
  <r>
    <s v="ORD10353"/>
    <x v="210"/>
    <x v="3"/>
    <x v="1"/>
    <x v="0"/>
    <x v="1"/>
    <x v="5"/>
    <n v="16127"/>
    <n v="19352.400000000001"/>
    <x v="2"/>
    <x v="0"/>
    <s v="Express"/>
    <x v="0"/>
    <n v="77409.600000000006"/>
  </r>
  <r>
    <s v="ORD10354"/>
    <x v="211"/>
    <x v="1"/>
    <x v="0"/>
    <x v="1"/>
    <x v="2"/>
    <x v="2"/>
    <n v="34878"/>
    <n v="26158.5"/>
    <x v="2"/>
    <x v="2"/>
    <s v="Express"/>
    <x v="2"/>
    <n v="148231.5"/>
  </r>
  <r>
    <s v="ORD10355"/>
    <x v="59"/>
    <x v="1"/>
    <x v="1"/>
    <x v="0"/>
    <x v="2"/>
    <x v="3"/>
    <n v="24666"/>
    <n v="34532.400000000001"/>
    <x v="3"/>
    <x v="0"/>
    <s v="Standard"/>
    <x v="0"/>
    <n v="138129.60000000001"/>
  </r>
  <r>
    <s v="ORD10356"/>
    <x v="212"/>
    <x v="1"/>
    <x v="0"/>
    <x v="0"/>
    <x v="4"/>
    <x v="3"/>
    <n v="15104"/>
    <n v="0"/>
    <x v="3"/>
    <x v="0"/>
    <s v="Standard"/>
    <x v="2"/>
    <n v="105728"/>
  </r>
  <r>
    <s v="ORD10357"/>
    <x v="208"/>
    <x v="1"/>
    <x v="0"/>
    <x v="2"/>
    <x v="3"/>
    <x v="1"/>
    <n v="41075"/>
    <n v="0"/>
    <x v="1"/>
    <x v="1"/>
    <s v="Standard"/>
    <x v="0"/>
    <n v="164300"/>
  </r>
  <r>
    <s v="ORD10358"/>
    <x v="12"/>
    <x v="1"/>
    <x v="1"/>
    <x v="0"/>
    <x v="1"/>
    <x v="2"/>
    <n v="26281"/>
    <n v="26281"/>
    <x v="3"/>
    <x v="1"/>
    <s v="Same Day"/>
    <x v="2"/>
    <n v="105124"/>
  </r>
  <r>
    <s v="ORD10359"/>
    <x v="213"/>
    <x v="3"/>
    <x v="0"/>
    <x v="2"/>
    <x v="3"/>
    <x v="6"/>
    <n v="24554"/>
    <n v="14732.400000000001"/>
    <x v="2"/>
    <x v="0"/>
    <s v="Same Day"/>
    <x v="1"/>
    <n v="58929.599999999999"/>
  </r>
  <r>
    <s v="ORD10360"/>
    <x v="77"/>
    <x v="0"/>
    <x v="2"/>
    <x v="1"/>
    <x v="4"/>
    <x v="1"/>
    <n v="27961"/>
    <n v="16776.599999999999"/>
    <x v="2"/>
    <x v="1"/>
    <s v="Express"/>
    <x v="1"/>
    <n v="95067.4"/>
  </r>
  <r>
    <s v="ORD10361"/>
    <x v="214"/>
    <x v="2"/>
    <x v="1"/>
    <x v="1"/>
    <x v="1"/>
    <x v="1"/>
    <n v="18500"/>
    <n v="14800"/>
    <x v="0"/>
    <x v="0"/>
    <s v="Standard"/>
    <x v="1"/>
    <n v="59200"/>
  </r>
  <r>
    <s v="ORD10362"/>
    <x v="215"/>
    <x v="1"/>
    <x v="2"/>
    <x v="1"/>
    <x v="1"/>
    <x v="6"/>
    <n v="29691"/>
    <n v="4453.6500000000005"/>
    <x v="0"/>
    <x v="0"/>
    <s v="Same Day"/>
    <x v="0"/>
    <n v="84619.349999999904"/>
  </r>
  <r>
    <s v="ORD10363"/>
    <x v="216"/>
    <x v="0"/>
    <x v="1"/>
    <x v="0"/>
    <x v="3"/>
    <x v="2"/>
    <n v="35725"/>
    <n v="0"/>
    <x v="2"/>
    <x v="2"/>
    <s v="Same Day"/>
    <x v="1"/>
    <n v="178625"/>
  </r>
  <r>
    <s v="ORD10364"/>
    <x v="175"/>
    <x v="0"/>
    <x v="0"/>
    <x v="2"/>
    <x v="0"/>
    <x v="2"/>
    <n v="26732"/>
    <n v="0"/>
    <x v="2"/>
    <x v="1"/>
    <s v="Standard"/>
    <x v="2"/>
    <n v="133660"/>
  </r>
  <r>
    <s v="ORD10365"/>
    <x v="217"/>
    <x v="2"/>
    <x v="1"/>
    <x v="1"/>
    <x v="2"/>
    <x v="3"/>
    <n v="6664"/>
    <n v="9329.6"/>
    <x v="1"/>
    <x v="1"/>
    <s v="Same Day"/>
    <x v="0"/>
    <n v="37318.400000000001"/>
  </r>
  <r>
    <s v="ORD10366"/>
    <x v="218"/>
    <x v="3"/>
    <x v="2"/>
    <x v="2"/>
    <x v="0"/>
    <x v="1"/>
    <n v="16762"/>
    <n v="6704.8"/>
    <x v="1"/>
    <x v="1"/>
    <s v="Standard"/>
    <x v="2"/>
    <n v="60343.199999999997"/>
  </r>
  <r>
    <s v="ORD10367"/>
    <x v="219"/>
    <x v="4"/>
    <x v="0"/>
    <x v="2"/>
    <x v="3"/>
    <x v="1"/>
    <n v="42056"/>
    <n v="16822.400000000001"/>
    <x v="2"/>
    <x v="2"/>
    <s v="Express"/>
    <x v="0"/>
    <n v="151401.60000000001"/>
  </r>
  <r>
    <s v="ORD10368"/>
    <x v="185"/>
    <x v="4"/>
    <x v="1"/>
    <x v="1"/>
    <x v="2"/>
    <x v="0"/>
    <n v="48092"/>
    <n v="86565.6"/>
    <x v="3"/>
    <x v="2"/>
    <s v="Express"/>
    <x v="2"/>
    <n v="346262.4"/>
  </r>
  <r>
    <s v="ORD10369"/>
    <x v="220"/>
    <x v="0"/>
    <x v="1"/>
    <x v="1"/>
    <x v="0"/>
    <x v="5"/>
    <n v="47228"/>
    <n v="14168.400000000001"/>
    <x v="0"/>
    <x v="2"/>
    <s v="Express"/>
    <x v="2"/>
    <n v="269199.59999999998"/>
  </r>
  <r>
    <s v="ORD10370"/>
    <x v="221"/>
    <x v="2"/>
    <x v="1"/>
    <x v="2"/>
    <x v="2"/>
    <x v="1"/>
    <n v="42711"/>
    <n v="17084.400000000001"/>
    <x v="2"/>
    <x v="1"/>
    <s v="Standard"/>
    <x v="0"/>
    <n v="153759.6"/>
  </r>
  <r>
    <s v="ORD10371"/>
    <x v="191"/>
    <x v="4"/>
    <x v="2"/>
    <x v="1"/>
    <x v="1"/>
    <x v="7"/>
    <n v="8883"/>
    <n v="3553.2000000000003"/>
    <x v="3"/>
    <x v="1"/>
    <s v="Same Day"/>
    <x v="0"/>
    <n v="14212.8"/>
  </r>
  <r>
    <s v="ORD10372"/>
    <x v="173"/>
    <x v="0"/>
    <x v="2"/>
    <x v="2"/>
    <x v="0"/>
    <x v="5"/>
    <n v="32834"/>
    <n v="9850.2000000000007"/>
    <x v="2"/>
    <x v="1"/>
    <s v="Express"/>
    <x v="1"/>
    <n v="187153.8"/>
  </r>
  <r>
    <s v="ORD10373"/>
    <x v="30"/>
    <x v="3"/>
    <x v="1"/>
    <x v="2"/>
    <x v="2"/>
    <x v="7"/>
    <n v="260"/>
    <n v="26"/>
    <x v="0"/>
    <x v="2"/>
    <s v="Express"/>
    <x v="1"/>
    <n v="494"/>
  </r>
  <r>
    <s v="ORD10374"/>
    <x v="157"/>
    <x v="4"/>
    <x v="0"/>
    <x v="1"/>
    <x v="2"/>
    <x v="2"/>
    <n v="9469"/>
    <n v="7101.75"/>
    <x v="0"/>
    <x v="2"/>
    <s v="Express"/>
    <x v="2"/>
    <n v="40243.25"/>
  </r>
  <r>
    <s v="ORD10375"/>
    <x v="222"/>
    <x v="0"/>
    <x v="0"/>
    <x v="0"/>
    <x v="2"/>
    <x v="5"/>
    <n v="23265"/>
    <n v="6979.5"/>
    <x v="1"/>
    <x v="0"/>
    <s v="Same Day"/>
    <x v="2"/>
    <n v="132610.5"/>
  </r>
  <r>
    <s v="ORD10376"/>
    <x v="223"/>
    <x v="0"/>
    <x v="2"/>
    <x v="1"/>
    <x v="0"/>
    <x v="1"/>
    <n v="3095"/>
    <n v="1238"/>
    <x v="1"/>
    <x v="2"/>
    <s v="Same Day"/>
    <x v="2"/>
    <n v="11142"/>
  </r>
  <r>
    <s v="ORD10377"/>
    <x v="224"/>
    <x v="1"/>
    <x v="0"/>
    <x v="0"/>
    <x v="4"/>
    <x v="6"/>
    <n v="15523"/>
    <n v="4656.9000000000005"/>
    <x v="1"/>
    <x v="0"/>
    <s v="Standard"/>
    <x v="0"/>
    <n v="41912.1"/>
  </r>
  <r>
    <s v="ORD10378"/>
    <x v="125"/>
    <x v="3"/>
    <x v="2"/>
    <x v="2"/>
    <x v="0"/>
    <x v="3"/>
    <n v="12552"/>
    <n v="17572.8"/>
    <x v="1"/>
    <x v="1"/>
    <s v="Express"/>
    <x v="0"/>
    <n v="70291.199999999997"/>
  </r>
  <r>
    <s v="ORD10379"/>
    <x v="45"/>
    <x v="1"/>
    <x v="1"/>
    <x v="2"/>
    <x v="3"/>
    <x v="7"/>
    <n v="44843"/>
    <n v="17937.2"/>
    <x v="0"/>
    <x v="2"/>
    <s v="Same Day"/>
    <x v="1"/>
    <n v="71748.800000000003"/>
  </r>
  <r>
    <s v="ORD10380"/>
    <x v="225"/>
    <x v="2"/>
    <x v="2"/>
    <x v="0"/>
    <x v="0"/>
    <x v="5"/>
    <n v="49937"/>
    <n v="14981.1"/>
    <x v="3"/>
    <x v="1"/>
    <s v="Standard"/>
    <x v="2"/>
    <n v="284640.89999999898"/>
  </r>
  <r>
    <s v="ORD10381"/>
    <x v="124"/>
    <x v="1"/>
    <x v="2"/>
    <x v="2"/>
    <x v="2"/>
    <x v="1"/>
    <n v="38791"/>
    <n v="0"/>
    <x v="3"/>
    <x v="1"/>
    <s v="Express"/>
    <x v="1"/>
    <n v="155164"/>
  </r>
  <r>
    <s v="ORD10382"/>
    <x v="226"/>
    <x v="1"/>
    <x v="1"/>
    <x v="0"/>
    <x v="1"/>
    <x v="5"/>
    <n v="31090"/>
    <n v="27981"/>
    <x v="3"/>
    <x v="1"/>
    <s v="Same Day"/>
    <x v="0"/>
    <n v="158559"/>
  </r>
  <r>
    <s v="ORD10383"/>
    <x v="227"/>
    <x v="4"/>
    <x v="0"/>
    <x v="0"/>
    <x v="0"/>
    <x v="1"/>
    <n v="32216"/>
    <n v="0"/>
    <x v="2"/>
    <x v="1"/>
    <s v="Same Day"/>
    <x v="0"/>
    <n v="128864"/>
  </r>
  <r>
    <s v="ORD10384"/>
    <x v="228"/>
    <x v="0"/>
    <x v="2"/>
    <x v="2"/>
    <x v="0"/>
    <x v="1"/>
    <n v="12162"/>
    <n v="2432.4"/>
    <x v="1"/>
    <x v="2"/>
    <s v="Standard"/>
    <x v="0"/>
    <n v="46215.6"/>
  </r>
  <r>
    <s v="ORD10385"/>
    <x v="53"/>
    <x v="3"/>
    <x v="2"/>
    <x v="0"/>
    <x v="2"/>
    <x v="1"/>
    <n v="33502"/>
    <n v="6700.4000000000005"/>
    <x v="1"/>
    <x v="1"/>
    <s v="Express"/>
    <x v="1"/>
    <n v="127307.599999999"/>
  </r>
  <r>
    <s v="ORD10386"/>
    <x v="229"/>
    <x v="1"/>
    <x v="1"/>
    <x v="1"/>
    <x v="1"/>
    <x v="0"/>
    <n v="20046"/>
    <n v="0"/>
    <x v="0"/>
    <x v="0"/>
    <s v="Express"/>
    <x v="0"/>
    <n v="180414"/>
  </r>
  <r>
    <s v="ORD10387"/>
    <x v="121"/>
    <x v="3"/>
    <x v="0"/>
    <x v="1"/>
    <x v="1"/>
    <x v="3"/>
    <n v="4211"/>
    <n v="4421.55"/>
    <x v="0"/>
    <x v="2"/>
    <s v="Same Day"/>
    <x v="2"/>
    <n v="25055.45"/>
  </r>
  <r>
    <s v="ORD10388"/>
    <x v="52"/>
    <x v="1"/>
    <x v="2"/>
    <x v="2"/>
    <x v="3"/>
    <x v="6"/>
    <n v="19982"/>
    <n v="0"/>
    <x v="2"/>
    <x v="1"/>
    <s v="Express"/>
    <x v="1"/>
    <n v="59946"/>
  </r>
  <r>
    <s v="ORD10389"/>
    <x v="230"/>
    <x v="2"/>
    <x v="1"/>
    <x v="2"/>
    <x v="0"/>
    <x v="6"/>
    <n v="2355"/>
    <n v="1413"/>
    <x v="2"/>
    <x v="2"/>
    <s v="Standard"/>
    <x v="0"/>
    <n v="5652"/>
  </r>
  <r>
    <s v="ORD10390"/>
    <x v="231"/>
    <x v="1"/>
    <x v="2"/>
    <x v="0"/>
    <x v="1"/>
    <x v="5"/>
    <n v="39925"/>
    <n v="23955"/>
    <x v="3"/>
    <x v="0"/>
    <s v="Same Day"/>
    <x v="1"/>
    <n v="215595"/>
  </r>
  <r>
    <s v="ORD10391"/>
    <x v="215"/>
    <x v="4"/>
    <x v="1"/>
    <x v="0"/>
    <x v="1"/>
    <x v="5"/>
    <n v="9396"/>
    <n v="11275.2"/>
    <x v="0"/>
    <x v="1"/>
    <s v="Same Day"/>
    <x v="1"/>
    <n v="45100.800000000003"/>
  </r>
  <r>
    <s v="ORD10392"/>
    <x v="8"/>
    <x v="0"/>
    <x v="0"/>
    <x v="0"/>
    <x v="4"/>
    <x v="1"/>
    <n v="43659"/>
    <n v="17463.600000000002"/>
    <x v="1"/>
    <x v="0"/>
    <s v="Standard"/>
    <x v="0"/>
    <n v="157172.4"/>
  </r>
  <r>
    <s v="ORD10393"/>
    <x v="216"/>
    <x v="2"/>
    <x v="0"/>
    <x v="0"/>
    <x v="4"/>
    <x v="0"/>
    <n v="21909"/>
    <n v="9859.0500000000011"/>
    <x v="3"/>
    <x v="1"/>
    <s v="Same Day"/>
    <x v="0"/>
    <n v="187321.94999999899"/>
  </r>
  <r>
    <s v="ORD10394"/>
    <x v="34"/>
    <x v="1"/>
    <x v="0"/>
    <x v="1"/>
    <x v="1"/>
    <x v="1"/>
    <n v="13527"/>
    <n v="8116.2"/>
    <x v="1"/>
    <x v="0"/>
    <s v="Express"/>
    <x v="1"/>
    <n v="45991.799999999901"/>
  </r>
  <r>
    <s v="ORD10395"/>
    <x v="186"/>
    <x v="3"/>
    <x v="0"/>
    <x v="1"/>
    <x v="3"/>
    <x v="0"/>
    <n v="35674"/>
    <n v="0"/>
    <x v="3"/>
    <x v="1"/>
    <s v="Express"/>
    <x v="1"/>
    <n v="321066"/>
  </r>
  <r>
    <s v="ORD10396"/>
    <x v="232"/>
    <x v="2"/>
    <x v="2"/>
    <x v="2"/>
    <x v="1"/>
    <x v="1"/>
    <n v="32969"/>
    <n v="19781.399999999998"/>
    <x v="1"/>
    <x v="2"/>
    <s v="Same Day"/>
    <x v="0"/>
    <n v="112094.599999999"/>
  </r>
  <r>
    <s v="ORD10397"/>
    <x v="88"/>
    <x v="2"/>
    <x v="2"/>
    <x v="0"/>
    <x v="2"/>
    <x v="7"/>
    <n v="42193"/>
    <n v="0"/>
    <x v="2"/>
    <x v="1"/>
    <s v="Standard"/>
    <x v="2"/>
    <n v="84386"/>
  </r>
  <r>
    <s v="ORD10398"/>
    <x v="32"/>
    <x v="1"/>
    <x v="0"/>
    <x v="0"/>
    <x v="0"/>
    <x v="7"/>
    <n v="24900"/>
    <n v="9960"/>
    <x v="3"/>
    <x v="2"/>
    <s v="Standard"/>
    <x v="1"/>
    <n v="39840"/>
  </r>
  <r>
    <s v="ORD10399"/>
    <x v="233"/>
    <x v="2"/>
    <x v="0"/>
    <x v="2"/>
    <x v="3"/>
    <x v="2"/>
    <n v="15020"/>
    <n v="15020"/>
    <x v="1"/>
    <x v="1"/>
    <s v="Express"/>
    <x v="1"/>
    <n v="60080"/>
  </r>
  <r>
    <s v="ORD10400"/>
    <x v="15"/>
    <x v="3"/>
    <x v="0"/>
    <x v="0"/>
    <x v="2"/>
    <x v="1"/>
    <n v="11091"/>
    <n v="0"/>
    <x v="1"/>
    <x v="1"/>
    <s v="Standard"/>
    <x v="2"/>
    <n v="44364"/>
  </r>
  <r>
    <s v="ORD10401"/>
    <x v="23"/>
    <x v="2"/>
    <x v="2"/>
    <x v="0"/>
    <x v="3"/>
    <x v="3"/>
    <n v="34829"/>
    <n v="36570.449999999997"/>
    <x v="0"/>
    <x v="0"/>
    <s v="Same Day"/>
    <x v="0"/>
    <n v="207232.55"/>
  </r>
  <r>
    <s v="ORD10402"/>
    <x v="212"/>
    <x v="3"/>
    <x v="0"/>
    <x v="0"/>
    <x v="2"/>
    <x v="2"/>
    <n v="5469"/>
    <n v="0"/>
    <x v="3"/>
    <x v="0"/>
    <s v="Same Day"/>
    <x v="0"/>
    <n v="27345"/>
  </r>
  <r>
    <s v="ORD10403"/>
    <x v="216"/>
    <x v="1"/>
    <x v="0"/>
    <x v="0"/>
    <x v="0"/>
    <x v="5"/>
    <n v="44080"/>
    <n v="13224"/>
    <x v="1"/>
    <x v="0"/>
    <s v="Express"/>
    <x v="2"/>
    <n v="251256"/>
  </r>
  <r>
    <s v="ORD10404"/>
    <x v="234"/>
    <x v="0"/>
    <x v="0"/>
    <x v="0"/>
    <x v="0"/>
    <x v="1"/>
    <n v="48667"/>
    <n v="38933.599999999999"/>
    <x v="0"/>
    <x v="1"/>
    <s v="Express"/>
    <x v="0"/>
    <n v="155734.39999999999"/>
  </r>
  <r>
    <s v="ORD10405"/>
    <x v="149"/>
    <x v="2"/>
    <x v="1"/>
    <x v="2"/>
    <x v="4"/>
    <x v="7"/>
    <n v="8520"/>
    <n v="852"/>
    <x v="1"/>
    <x v="1"/>
    <s v="Express"/>
    <x v="0"/>
    <n v="16188"/>
  </r>
  <r>
    <s v="ORD10406"/>
    <x v="30"/>
    <x v="0"/>
    <x v="0"/>
    <x v="0"/>
    <x v="2"/>
    <x v="0"/>
    <n v="49789"/>
    <n v="89620.200000000012"/>
    <x v="3"/>
    <x v="1"/>
    <s v="Standard"/>
    <x v="1"/>
    <n v="358480.8"/>
  </r>
  <r>
    <s v="ORD10407"/>
    <x v="168"/>
    <x v="3"/>
    <x v="1"/>
    <x v="2"/>
    <x v="4"/>
    <x v="3"/>
    <n v="10940"/>
    <n v="15316"/>
    <x v="2"/>
    <x v="2"/>
    <s v="Same Day"/>
    <x v="1"/>
    <n v="61264"/>
  </r>
  <r>
    <s v="ORD10408"/>
    <x v="2"/>
    <x v="2"/>
    <x v="1"/>
    <x v="0"/>
    <x v="2"/>
    <x v="1"/>
    <n v="36097"/>
    <n v="14438.800000000001"/>
    <x v="3"/>
    <x v="2"/>
    <s v="Same Day"/>
    <x v="1"/>
    <n v="129949.2"/>
  </r>
  <r>
    <s v="ORD10409"/>
    <x v="59"/>
    <x v="4"/>
    <x v="0"/>
    <x v="1"/>
    <x v="4"/>
    <x v="6"/>
    <n v="31130"/>
    <n v="4669.5"/>
    <x v="3"/>
    <x v="1"/>
    <s v="Same Day"/>
    <x v="2"/>
    <n v="88720.5"/>
  </r>
  <r>
    <s v="ORD10410"/>
    <x v="107"/>
    <x v="0"/>
    <x v="1"/>
    <x v="1"/>
    <x v="0"/>
    <x v="6"/>
    <n v="17485"/>
    <n v="2622.75"/>
    <x v="1"/>
    <x v="0"/>
    <s v="Express"/>
    <x v="0"/>
    <n v="49832.25"/>
  </r>
  <r>
    <s v="ORD10411"/>
    <x v="53"/>
    <x v="2"/>
    <x v="0"/>
    <x v="1"/>
    <x v="3"/>
    <x v="0"/>
    <n v="14580"/>
    <n v="13122"/>
    <x v="1"/>
    <x v="0"/>
    <s v="Same Day"/>
    <x v="0"/>
    <n v="118098"/>
  </r>
  <r>
    <s v="ORD10412"/>
    <x v="50"/>
    <x v="0"/>
    <x v="2"/>
    <x v="1"/>
    <x v="4"/>
    <x v="2"/>
    <n v="11560"/>
    <n v="8670"/>
    <x v="3"/>
    <x v="0"/>
    <s v="Standard"/>
    <x v="1"/>
    <n v="49130"/>
  </r>
  <r>
    <s v="ORD10413"/>
    <x v="179"/>
    <x v="2"/>
    <x v="2"/>
    <x v="2"/>
    <x v="2"/>
    <x v="6"/>
    <n v="5598"/>
    <n v="839.7"/>
    <x v="0"/>
    <x v="1"/>
    <s v="Standard"/>
    <x v="1"/>
    <n v="15954.3"/>
  </r>
  <r>
    <s v="ORD10414"/>
    <x v="134"/>
    <x v="1"/>
    <x v="2"/>
    <x v="2"/>
    <x v="2"/>
    <x v="2"/>
    <n v="5729"/>
    <n v="0"/>
    <x v="0"/>
    <x v="0"/>
    <s v="Same Day"/>
    <x v="2"/>
    <n v="28645"/>
  </r>
  <r>
    <s v="ORD10415"/>
    <x v="109"/>
    <x v="0"/>
    <x v="2"/>
    <x v="0"/>
    <x v="0"/>
    <x v="7"/>
    <n v="29262"/>
    <n v="5852.4000000000005"/>
    <x v="0"/>
    <x v="1"/>
    <s v="Express"/>
    <x v="0"/>
    <n v="52671.6"/>
  </r>
  <r>
    <s v="ORD10416"/>
    <x v="0"/>
    <x v="4"/>
    <x v="1"/>
    <x v="1"/>
    <x v="2"/>
    <x v="1"/>
    <n v="36886"/>
    <n v="7377.2000000000007"/>
    <x v="1"/>
    <x v="2"/>
    <s v="Same Day"/>
    <x v="2"/>
    <n v="140166.79999999999"/>
  </r>
  <r>
    <s v="ORD10417"/>
    <x v="235"/>
    <x v="4"/>
    <x v="0"/>
    <x v="2"/>
    <x v="1"/>
    <x v="7"/>
    <n v="17651"/>
    <n v="5295.3"/>
    <x v="1"/>
    <x v="0"/>
    <s v="Standard"/>
    <x v="0"/>
    <n v="30006.7"/>
  </r>
  <r>
    <s v="ORD10418"/>
    <x v="236"/>
    <x v="3"/>
    <x v="0"/>
    <x v="0"/>
    <x v="3"/>
    <x v="7"/>
    <n v="49378"/>
    <n v="4937.8"/>
    <x v="3"/>
    <x v="2"/>
    <s v="Standard"/>
    <x v="2"/>
    <n v="93818.2"/>
  </r>
  <r>
    <s v="ORD10419"/>
    <x v="196"/>
    <x v="2"/>
    <x v="0"/>
    <x v="0"/>
    <x v="4"/>
    <x v="8"/>
    <n v="7137"/>
    <n v="11419.2"/>
    <x v="2"/>
    <x v="0"/>
    <s v="Standard"/>
    <x v="1"/>
    <n v="45676.800000000003"/>
  </r>
  <r>
    <s v="ORD10420"/>
    <x v="237"/>
    <x v="0"/>
    <x v="2"/>
    <x v="2"/>
    <x v="3"/>
    <x v="4"/>
    <n v="40086"/>
    <n v="0"/>
    <x v="1"/>
    <x v="1"/>
    <s v="Same Day"/>
    <x v="2"/>
    <n v="40086"/>
  </r>
  <r>
    <s v="ORD10421"/>
    <x v="238"/>
    <x v="3"/>
    <x v="2"/>
    <x v="1"/>
    <x v="0"/>
    <x v="3"/>
    <n v="49899"/>
    <n v="34929.300000000003"/>
    <x v="3"/>
    <x v="1"/>
    <s v="Standard"/>
    <x v="2"/>
    <n v="314363.7"/>
  </r>
  <r>
    <s v="ORD10422"/>
    <x v="223"/>
    <x v="0"/>
    <x v="0"/>
    <x v="0"/>
    <x v="4"/>
    <x v="2"/>
    <n v="11060"/>
    <n v="11060"/>
    <x v="3"/>
    <x v="1"/>
    <s v="Express"/>
    <x v="1"/>
    <n v="44240"/>
  </r>
  <r>
    <s v="ORD10423"/>
    <x v="239"/>
    <x v="2"/>
    <x v="2"/>
    <x v="1"/>
    <x v="4"/>
    <x v="8"/>
    <n v="25342"/>
    <n v="30410.399999999998"/>
    <x v="2"/>
    <x v="1"/>
    <s v="Same Day"/>
    <x v="0"/>
    <n v="172325.6"/>
  </r>
  <r>
    <s v="ORD10424"/>
    <x v="172"/>
    <x v="4"/>
    <x v="0"/>
    <x v="1"/>
    <x v="1"/>
    <x v="4"/>
    <n v="25479"/>
    <n v="5095.8"/>
    <x v="0"/>
    <x v="0"/>
    <s v="Same Day"/>
    <x v="0"/>
    <n v="20383.2"/>
  </r>
  <r>
    <s v="ORD10425"/>
    <x v="165"/>
    <x v="1"/>
    <x v="0"/>
    <x v="1"/>
    <x v="0"/>
    <x v="3"/>
    <n v="38306"/>
    <n v="53628.4"/>
    <x v="3"/>
    <x v="2"/>
    <s v="Standard"/>
    <x v="1"/>
    <n v="214513.6"/>
  </r>
  <r>
    <s v="ORD10426"/>
    <x v="240"/>
    <x v="4"/>
    <x v="0"/>
    <x v="0"/>
    <x v="2"/>
    <x v="2"/>
    <n v="45440"/>
    <n v="34080"/>
    <x v="3"/>
    <x v="1"/>
    <s v="Standard"/>
    <x v="2"/>
    <n v="193120"/>
  </r>
  <r>
    <s v="ORD10427"/>
    <x v="167"/>
    <x v="3"/>
    <x v="0"/>
    <x v="1"/>
    <x v="1"/>
    <x v="1"/>
    <n v="36108"/>
    <n v="28886.400000000001"/>
    <x v="3"/>
    <x v="0"/>
    <s v="Express"/>
    <x v="2"/>
    <n v="115545.60000000001"/>
  </r>
  <r>
    <s v="ORD10428"/>
    <x v="60"/>
    <x v="1"/>
    <x v="0"/>
    <x v="0"/>
    <x v="1"/>
    <x v="3"/>
    <n v="40964"/>
    <n v="28674.800000000003"/>
    <x v="0"/>
    <x v="2"/>
    <s v="Same Day"/>
    <x v="2"/>
    <n v="258073.2"/>
  </r>
  <r>
    <s v="ORD10429"/>
    <x v="193"/>
    <x v="3"/>
    <x v="0"/>
    <x v="1"/>
    <x v="3"/>
    <x v="7"/>
    <n v="48457"/>
    <n v="4845.7"/>
    <x v="0"/>
    <x v="1"/>
    <s v="Standard"/>
    <x v="0"/>
    <n v="92068.3"/>
  </r>
  <r>
    <s v="ORD10430"/>
    <x v="170"/>
    <x v="2"/>
    <x v="0"/>
    <x v="0"/>
    <x v="3"/>
    <x v="4"/>
    <n v="14401"/>
    <n v="2880.2000000000003"/>
    <x v="2"/>
    <x v="2"/>
    <s v="Express"/>
    <x v="2"/>
    <n v="11520.8"/>
  </r>
  <r>
    <s v="ORD10431"/>
    <x v="241"/>
    <x v="1"/>
    <x v="2"/>
    <x v="1"/>
    <x v="3"/>
    <x v="4"/>
    <n v="40744"/>
    <n v="4074.4"/>
    <x v="1"/>
    <x v="1"/>
    <s v="Standard"/>
    <x v="0"/>
    <n v="36669.599999999999"/>
  </r>
  <r>
    <s v="ORD10432"/>
    <x v="183"/>
    <x v="3"/>
    <x v="0"/>
    <x v="2"/>
    <x v="1"/>
    <x v="4"/>
    <n v="37911"/>
    <n v="1895.5500000000002"/>
    <x v="0"/>
    <x v="2"/>
    <s v="Same Day"/>
    <x v="2"/>
    <n v="36015.449999999997"/>
  </r>
  <r>
    <s v="ORD10433"/>
    <x v="242"/>
    <x v="2"/>
    <x v="0"/>
    <x v="1"/>
    <x v="2"/>
    <x v="2"/>
    <n v="45854"/>
    <n v="11463.5"/>
    <x v="1"/>
    <x v="2"/>
    <s v="Standard"/>
    <x v="1"/>
    <n v="217806.5"/>
  </r>
  <r>
    <s v="ORD10434"/>
    <x v="243"/>
    <x v="4"/>
    <x v="2"/>
    <x v="1"/>
    <x v="4"/>
    <x v="3"/>
    <n v="9197"/>
    <n v="12875.800000000001"/>
    <x v="1"/>
    <x v="1"/>
    <s v="Same Day"/>
    <x v="1"/>
    <n v="51503.199999999997"/>
  </r>
  <r>
    <s v="ORD10435"/>
    <x v="52"/>
    <x v="2"/>
    <x v="2"/>
    <x v="0"/>
    <x v="3"/>
    <x v="7"/>
    <n v="40766"/>
    <n v="8153.2000000000007"/>
    <x v="0"/>
    <x v="0"/>
    <s v="Standard"/>
    <x v="0"/>
    <n v="73378.8"/>
  </r>
  <r>
    <s v="ORD10436"/>
    <x v="212"/>
    <x v="0"/>
    <x v="2"/>
    <x v="0"/>
    <x v="2"/>
    <x v="8"/>
    <n v="20375"/>
    <n v="32600"/>
    <x v="3"/>
    <x v="2"/>
    <s v="Same Day"/>
    <x v="0"/>
    <n v="130400"/>
  </r>
  <r>
    <s v="ORD10437"/>
    <x v="49"/>
    <x v="2"/>
    <x v="0"/>
    <x v="1"/>
    <x v="0"/>
    <x v="1"/>
    <n v="41060"/>
    <n v="24636"/>
    <x v="2"/>
    <x v="1"/>
    <s v="Express"/>
    <x v="1"/>
    <n v="139604"/>
  </r>
  <r>
    <s v="ORD10438"/>
    <x v="244"/>
    <x v="2"/>
    <x v="1"/>
    <x v="2"/>
    <x v="3"/>
    <x v="6"/>
    <n v="3425"/>
    <n v="513.75"/>
    <x v="1"/>
    <x v="2"/>
    <s v="Same Day"/>
    <x v="1"/>
    <n v="9761.25"/>
  </r>
  <r>
    <s v="ORD10439"/>
    <x v="245"/>
    <x v="0"/>
    <x v="1"/>
    <x v="2"/>
    <x v="4"/>
    <x v="8"/>
    <n v="44778"/>
    <n v="71644.800000000003"/>
    <x v="3"/>
    <x v="2"/>
    <s v="Express"/>
    <x v="2"/>
    <n v="286579.20000000001"/>
  </r>
  <r>
    <s v="ORD10440"/>
    <x v="145"/>
    <x v="3"/>
    <x v="2"/>
    <x v="0"/>
    <x v="0"/>
    <x v="7"/>
    <n v="47882"/>
    <n v="4788.2"/>
    <x v="0"/>
    <x v="0"/>
    <s v="Same Day"/>
    <x v="1"/>
    <n v="90975.8"/>
  </r>
  <r>
    <s v="ORD10441"/>
    <x v="246"/>
    <x v="3"/>
    <x v="1"/>
    <x v="2"/>
    <x v="0"/>
    <x v="6"/>
    <n v="35428"/>
    <n v="10628.400000000001"/>
    <x v="1"/>
    <x v="2"/>
    <s v="Express"/>
    <x v="0"/>
    <n v="95655.6"/>
  </r>
  <r>
    <s v="ORD10442"/>
    <x v="217"/>
    <x v="2"/>
    <x v="2"/>
    <x v="1"/>
    <x v="4"/>
    <x v="6"/>
    <n v="41705"/>
    <n v="0"/>
    <x v="1"/>
    <x v="2"/>
    <s v="Standard"/>
    <x v="1"/>
    <n v="125115"/>
  </r>
  <r>
    <s v="ORD10443"/>
    <x v="86"/>
    <x v="0"/>
    <x v="0"/>
    <x v="0"/>
    <x v="3"/>
    <x v="4"/>
    <n v="46888"/>
    <n v="9377.6"/>
    <x v="1"/>
    <x v="1"/>
    <s v="Same Day"/>
    <x v="0"/>
    <n v="37510.400000000001"/>
  </r>
  <r>
    <s v="ORD10444"/>
    <x v="212"/>
    <x v="0"/>
    <x v="1"/>
    <x v="1"/>
    <x v="1"/>
    <x v="5"/>
    <n v="23310"/>
    <n v="27972"/>
    <x v="3"/>
    <x v="1"/>
    <s v="Standard"/>
    <x v="0"/>
    <n v="111888"/>
  </r>
  <r>
    <s v="ORD10445"/>
    <x v="7"/>
    <x v="4"/>
    <x v="0"/>
    <x v="0"/>
    <x v="4"/>
    <x v="7"/>
    <n v="10954"/>
    <n v="1095.4000000000001"/>
    <x v="3"/>
    <x v="0"/>
    <s v="Express"/>
    <x v="2"/>
    <n v="20812.599999999999"/>
  </r>
  <r>
    <s v="ORD10446"/>
    <x v="247"/>
    <x v="3"/>
    <x v="1"/>
    <x v="0"/>
    <x v="4"/>
    <x v="4"/>
    <n v="26855"/>
    <n v="2685.5"/>
    <x v="3"/>
    <x v="2"/>
    <s v="Same Day"/>
    <x v="2"/>
    <n v="24169.5"/>
  </r>
  <r>
    <s v="ORD10447"/>
    <x v="248"/>
    <x v="1"/>
    <x v="0"/>
    <x v="0"/>
    <x v="4"/>
    <x v="7"/>
    <n v="43801"/>
    <n v="13140.3"/>
    <x v="1"/>
    <x v="2"/>
    <s v="Same Day"/>
    <x v="2"/>
    <n v="74461.7"/>
  </r>
  <r>
    <s v="ORD10448"/>
    <x v="249"/>
    <x v="3"/>
    <x v="1"/>
    <x v="0"/>
    <x v="0"/>
    <x v="5"/>
    <n v="3314"/>
    <n v="1988.4"/>
    <x v="1"/>
    <x v="2"/>
    <s v="Standard"/>
    <x v="2"/>
    <n v="17895.599999999999"/>
  </r>
  <r>
    <s v="ORD10449"/>
    <x v="119"/>
    <x v="3"/>
    <x v="0"/>
    <x v="2"/>
    <x v="2"/>
    <x v="1"/>
    <n v="26702"/>
    <n v="21361.600000000002"/>
    <x v="2"/>
    <x v="0"/>
    <s v="Same Day"/>
    <x v="1"/>
    <n v="85446.399999999994"/>
  </r>
  <r>
    <s v="ORD10450"/>
    <x v="156"/>
    <x v="4"/>
    <x v="0"/>
    <x v="1"/>
    <x v="1"/>
    <x v="5"/>
    <n v="49968"/>
    <n v="44971.199999999997"/>
    <x v="2"/>
    <x v="2"/>
    <s v="Same Day"/>
    <x v="2"/>
    <n v="254836.8"/>
  </r>
  <r>
    <s v="ORD10451"/>
    <x v="250"/>
    <x v="1"/>
    <x v="1"/>
    <x v="1"/>
    <x v="3"/>
    <x v="0"/>
    <n v="48328"/>
    <n v="43495.200000000004"/>
    <x v="3"/>
    <x v="1"/>
    <s v="Standard"/>
    <x v="1"/>
    <n v="391456.8"/>
  </r>
  <r>
    <s v="ORD10452"/>
    <x v="99"/>
    <x v="4"/>
    <x v="0"/>
    <x v="1"/>
    <x v="3"/>
    <x v="8"/>
    <n v="20228"/>
    <n v="0"/>
    <x v="3"/>
    <x v="0"/>
    <s v="Same Day"/>
    <x v="2"/>
    <n v="161824"/>
  </r>
  <r>
    <s v="ORD10453"/>
    <x v="44"/>
    <x v="1"/>
    <x v="0"/>
    <x v="0"/>
    <x v="2"/>
    <x v="4"/>
    <n v="17787"/>
    <n v="889.35"/>
    <x v="0"/>
    <x v="1"/>
    <s v="Standard"/>
    <x v="2"/>
    <n v="16897.6499999999"/>
  </r>
  <r>
    <s v="ORD10454"/>
    <x v="75"/>
    <x v="2"/>
    <x v="0"/>
    <x v="2"/>
    <x v="4"/>
    <x v="8"/>
    <n v="42919"/>
    <n v="34335.200000000004"/>
    <x v="3"/>
    <x v="1"/>
    <s v="Standard"/>
    <x v="0"/>
    <n v="309016.8"/>
  </r>
  <r>
    <s v="ORD10455"/>
    <x v="251"/>
    <x v="1"/>
    <x v="1"/>
    <x v="1"/>
    <x v="1"/>
    <x v="0"/>
    <n v="35533"/>
    <n v="31979.7"/>
    <x v="2"/>
    <x v="0"/>
    <s v="Standard"/>
    <x v="1"/>
    <n v="287817.3"/>
  </r>
  <r>
    <s v="ORD10456"/>
    <x v="5"/>
    <x v="4"/>
    <x v="1"/>
    <x v="2"/>
    <x v="3"/>
    <x v="5"/>
    <n v="3374"/>
    <n v="0"/>
    <x v="2"/>
    <x v="1"/>
    <s v="Standard"/>
    <x v="0"/>
    <n v="20244"/>
  </r>
  <r>
    <s v="ORD10457"/>
    <x v="20"/>
    <x v="3"/>
    <x v="0"/>
    <x v="0"/>
    <x v="3"/>
    <x v="2"/>
    <n v="35598"/>
    <n v="35598"/>
    <x v="2"/>
    <x v="2"/>
    <s v="Standard"/>
    <x v="2"/>
    <n v="142392"/>
  </r>
  <r>
    <s v="ORD10458"/>
    <x v="252"/>
    <x v="1"/>
    <x v="0"/>
    <x v="1"/>
    <x v="4"/>
    <x v="5"/>
    <n v="36129"/>
    <n v="10838.7"/>
    <x v="1"/>
    <x v="0"/>
    <s v="Express"/>
    <x v="1"/>
    <n v="205935.3"/>
  </r>
  <r>
    <s v="ORD10459"/>
    <x v="253"/>
    <x v="1"/>
    <x v="1"/>
    <x v="2"/>
    <x v="2"/>
    <x v="5"/>
    <n v="4521"/>
    <n v="2712.6000000000004"/>
    <x v="1"/>
    <x v="1"/>
    <s v="Express"/>
    <x v="2"/>
    <n v="24413.4"/>
  </r>
  <r>
    <s v="ORD10460"/>
    <x v="1"/>
    <x v="0"/>
    <x v="1"/>
    <x v="0"/>
    <x v="1"/>
    <x v="0"/>
    <n v="30635"/>
    <n v="41357.25"/>
    <x v="3"/>
    <x v="2"/>
    <s v="Standard"/>
    <x v="0"/>
    <n v="234357.75"/>
  </r>
  <r>
    <s v="ORD10461"/>
    <x v="157"/>
    <x v="3"/>
    <x v="0"/>
    <x v="2"/>
    <x v="2"/>
    <x v="1"/>
    <n v="46172"/>
    <n v="18468.8"/>
    <x v="0"/>
    <x v="2"/>
    <s v="Express"/>
    <x v="1"/>
    <n v="166219.20000000001"/>
  </r>
  <r>
    <s v="ORD10462"/>
    <x v="254"/>
    <x v="2"/>
    <x v="0"/>
    <x v="1"/>
    <x v="2"/>
    <x v="7"/>
    <n v="7299"/>
    <n v="729.90000000000009"/>
    <x v="0"/>
    <x v="1"/>
    <s v="Express"/>
    <x v="0"/>
    <n v="13868.0999999999"/>
  </r>
  <r>
    <s v="ORD10463"/>
    <x v="255"/>
    <x v="4"/>
    <x v="0"/>
    <x v="1"/>
    <x v="1"/>
    <x v="0"/>
    <n v="23960"/>
    <n v="21564"/>
    <x v="0"/>
    <x v="2"/>
    <s v="Same Day"/>
    <x v="2"/>
    <n v="194076"/>
  </r>
  <r>
    <s v="ORD10464"/>
    <x v="165"/>
    <x v="2"/>
    <x v="2"/>
    <x v="0"/>
    <x v="1"/>
    <x v="7"/>
    <n v="11560"/>
    <n v="0"/>
    <x v="1"/>
    <x v="0"/>
    <s v="Standard"/>
    <x v="2"/>
    <n v="23120"/>
  </r>
  <r>
    <s v="ORD10465"/>
    <x v="129"/>
    <x v="3"/>
    <x v="1"/>
    <x v="0"/>
    <x v="3"/>
    <x v="0"/>
    <n v="10513"/>
    <n v="9461.7000000000007"/>
    <x v="2"/>
    <x v="1"/>
    <s v="Express"/>
    <x v="2"/>
    <n v="85155.3"/>
  </r>
  <r>
    <s v="ORD10466"/>
    <x v="256"/>
    <x v="1"/>
    <x v="2"/>
    <x v="0"/>
    <x v="3"/>
    <x v="7"/>
    <n v="46470"/>
    <n v="9294"/>
    <x v="2"/>
    <x v="2"/>
    <s v="Same Day"/>
    <x v="1"/>
    <n v="83646"/>
  </r>
  <r>
    <s v="ORD10467"/>
    <x v="257"/>
    <x v="1"/>
    <x v="1"/>
    <x v="2"/>
    <x v="1"/>
    <x v="8"/>
    <n v="20662"/>
    <n v="24794.399999999998"/>
    <x v="1"/>
    <x v="2"/>
    <s v="Same Day"/>
    <x v="0"/>
    <n v="140501.6"/>
  </r>
  <r>
    <s v="ORD10468"/>
    <x v="153"/>
    <x v="3"/>
    <x v="1"/>
    <x v="2"/>
    <x v="0"/>
    <x v="0"/>
    <n v="6001"/>
    <n v="0"/>
    <x v="0"/>
    <x v="1"/>
    <s v="Standard"/>
    <x v="0"/>
    <n v="54009"/>
  </r>
  <r>
    <s v="ORD10469"/>
    <x v="252"/>
    <x v="1"/>
    <x v="1"/>
    <x v="2"/>
    <x v="3"/>
    <x v="0"/>
    <n v="14330"/>
    <n v="0"/>
    <x v="0"/>
    <x v="1"/>
    <s v="Standard"/>
    <x v="2"/>
    <n v="128970"/>
  </r>
  <r>
    <s v="ORD10470"/>
    <x v="238"/>
    <x v="1"/>
    <x v="1"/>
    <x v="0"/>
    <x v="0"/>
    <x v="0"/>
    <n v="14471"/>
    <n v="13023.900000000001"/>
    <x v="3"/>
    <x v="1"/>
    <s v="Same Day"/>
    <x v="0"/>
    <n v="117215.1"/>
  </r>
  <r>
    <s v="ORD10471"/>
    <x v="258"/>
    <x v="1"/>
    <x v="1"/>
    <x v="1"/>
    <x v="1"/>
    <x v="7"/>
    <n v="16275"/>
    <n v="4882.5"/>
    <x v="3"/>
    <x v="1"/>
    <s v="Standard"/>
    <x v="1"/>
    <n v="27667.5"/>
  </r>
  <r>
    <s v="ORD10472"/>
    <x v="192"/>
    <x v="4"/>
    <x v="1"/>
    <x v="1"/>
    <x v="3"/>
    <x v="1"/>
    <n v="37119"/>
    <n v="14847.6"/>
    <x v="0"/>
    <x v="0"/>
    <s v="Standard"/>
    <x v="2"/>
    <n v="133628.4"/>
  </r>
  <r>
    <s v="ORD10473"/>
    <x v="259"/>
    <x v="4"/>
    <x v="1"/>
    <x v="2"/>
    <x v="2"/>
    <x v="3"/>
    <n v="41879"/>
    <n v="29315.300000000003"/>
    <x v="1"/>
    <x v="1"/>
    <s v="Same Day"/>
    <x v="2"/>
    <n v="263837.7"/>
  </r>
  <r>
    <s v="ORD10474"/>
    <x v="64"/>
    <x v="0"/>
    <x v="2"/>
    <x v="2"/>
    <x v="1"/>
    <x v="7"/>
    <n v="19184"/>
    <n v="1918.4"/>
    <x v="0"/>
    <x v="0"/>
    <s v="Same Day"/>
    <x v="2"/>
    <n v="36449.599999999999"/>
  </r>
  <r>
    <s v="ORD10475"/>
    <x v="260"/>
    <x v="2"/>
    <x v="0"/>
    <x v="1"/>
    <x v="4"/>
    <x v="4"/>
    <n v="22759"/>
    <n v="1137.95"/>
    <x v="3"/>
    <x v="0"/>
    <s v="Standard"/>
    <x v="1"/>
    <n v="21621.05"/>
  </r>
  <r>
    <s v="ORD10476"/>
    <x v="173"/>
    <x v="3"/>
    <x v="0"/>
    <x v="1"/>
    <x v="0"/>
    <x v="6"/>
    <n v="13061"/>
    <n v="5877.45"/>
    <x v="0"/>
    <x v="1"/>
    <s v="Express"/>
    <x v="2"/>
    <n v="33305.549999999901"/>
  </r>
  <r>
    <s v="ORD10477"/>
    <x v="11"/>
    <x v="3"/>
    <x v="2"/>
    <x v="2"/>
    <x v="1"/>
    <x v="1"/>
    <n v="33634"/>
    <n v="26907.200000000001"/>
    <x v="1"/>
    <x v="0"/>
    <s v="Standard"/>
    <x v="2"/>
    <n v="107628.8"/>
  </r>
  <r>
    <s v="ORD10478"/>
    <x v="91"/>
    <x v="3"/>
    <x v="2"/>
    <x v="2"/>
    <x v="1"/>
    <x v="8"/>
    <n v="16867"/>
    <n v="6746.8"/>
    <x v="2"/>
    <x v="1"/>
    <s v="Express"/>
    <x v="2"/>
    <n v="128189.2"/>
  </r>
  <r>
    <s v="ORD10479"/>
    <x v="180"/>
    <x v="0"/>
    <x v="2"/>
    <x v="1"/>
    <x v="3"/>
    <x v="5"/>
    <n v="6040"/>
    <n v="7248"/>
    <x v="1"/>
    <x v="1"/>
    <s v="Same Day"/>
    <x v="2"/>
    <n v="28992"/>
  </r>
  <r>
    <s v="ORD10480"/>
    <x v="120"/>
    <x v="4"/>
    <x v="2"/>
    <x v="0"/>
    <x v="3"/>
    <x v="7"/>
    <n v="3765"/>
    <n v="0"/>
    <x v="1"/>
    <x v="2"/>
    <s v="Express"/>
    <x v="0"/>
    <n v="7530"/>
  </r>
  <r>
    <s v="ORD10481"/>
    <x v="261"/>
    <x v="0"/>
    <x v="1"/>
    <x v="2"/>
    <x v="3"/>
    <x v="0"/>
    <n v="43394"/>
    <n v="19527.3"/>
    <x v="3"/>
    <x v="1"/>
    <s v="Same Day"/>
    <x v="2"/>
    <n v="371018.7"/>
  </r>
  <r>
    <s v="ORD10482"/>
    <x v="262"/>
    <x v="3"/>
    <x v="0"/>
    <x v="1"/>
    <x v="4"/>
    <x v="7"/>
    <n v="21177"/>
    <n v="2117.7000000000003"/>
    <x v="1"/>
    <x v="2"/>
    <s v="Standard"/>
    <x v="1"/>
    <n v="40236.299999999901"/>
  </r>
  <r>
    <s v="ORD10483"/>
    <x v="263"/>
    <x v="2"/>
    <x v="1"/>
    <x v="1"/>
    <x v="3"/>
    <x v="2"/>
    <n v="21318"/>
    <n v="15988.5"/>
    <x v="1"/>
    <x v="0"/>
    <s v="Standard"/>
    <x v="2"/>
    <n v="90601.5"/>
  </r>
  <r>
    <s v="ORD10484"/>
    <x v="264"/>
    <x v="1"/>
    <x v="0"/>
    <x v="1"/>
    <x v="1"/>
    <x v="1"/>
    <n v="22841"/>
    <n v="18272.8"/>
    <x v="3"/>
    <x v="2"/>
    <s v="Same Day"/>
    <x v="2"/>
    <n v="73091.199999999997"/>
  </r>
  <r>
    <s v="ORD10485"/>
    <x v="221"/>
    <x v="4"/>
    <x v="0"/>
    <x v="1"/>
    <x v="3"/>
    <x v="3"/>
    <n v="7566"/>
    <n v="2648.1000000000004"/>
    <x v="3"/>
    <x v="0"/>
    <s v="Same Day"/>
    <x v="0"/>
    <n v="50313.8999999999"/>
  </r>
  <r>
    <s v="ORD10486"/>
    <x v="162"/>
    <x v="4"/>
    <x v="2"/>
    <x v="0"/>
    <x v="2"/>
    <x v="8"/>
    <n v="26836"/>
    <n v="10734.400000000001"/>
    <x v="2"/>
    <x v="1"/>
    <s v="Same Day"/>
    <x v="2"/>
    <n v="203953.59999999899"/>
  </r>
  <r>
    <s v="ORD10487"/>
    <x v="11"/>
    <x v="0"/>
    <x v="1"/>
    <x v="1"/>
    <x v="3"/>
    <x v="2"/>
    <n v="15830"/>
    <n v="11872.5"/>
    <x v="0"/>
    <x v="0"/>
    <s v="Standard"/>
    <x v="0"/>
    <n v="67277.5"/>
  </r>
  <r>
    <s v="ORD10488"/>
    <x v="249"/>
    <x v="4"/>
    <x v="2"/>
    <x v="2"/>
    <x v="4"/>
    <x v="2"/>
    <n v="20256"/>
    <n v="15192"/>
    <x v="1"/>
    <x v="0"/>
    <s v="Standard"/>
    <x v="1"/>
    <n v="86088"/>
  </r>
  <r>
    <s v="ORD10489"/>
    <x v="149"/>
    <x v="3"/>
    <x v="1"/>
    <x v="0"/>
    <x v="2"/>
    <x v="7"/>
    <n v="7582"/>
    <n v="3032.8"/>
    <x v="3"/>
    <x v="1"/>
    <s v="Express"/>
    <x v="0"/>
    <n v="12131.2"/>
  </r>
  <r>
    <s v="ORD10490"/>
    <x v="211"/>
    <x v="3"/>
    <x v="0"/>
    <x v="1"/>
    <x v="1"/>
    <x v="8"/>
    <n v="16349"/>
    <n v="0"/>
    <x v="2"/>
    <x v="0"/>
    <s v="Same Day"/>
    <x v="2"/>
    <n v="130792"/>
  </r>
  <r>
    <s v="ORD10491"/>
    <x v="263"/>
    <x v="0"/>
    <x v="2"/>
    <x v="0"/>
    <x v="1"/>
    <x v="7"/>
    <n v="48839"/>
    <n v="0"/>
    <x v="0"/>
    <x v="1"/>
    <s v="Express"/>
    <x v="1"/>
    <n v="97678"/>
  </r>
  <r>
    <s v="ORD10492"/>
    <x v="170"/>
    <x v="3"/>
    <x v="2"/>
    <x v="2"/>
    <x v="0"/>
    <x v="5"/>
    <n v="46241"/>
    <n v="27744.600000000002"/>
    <x v="3"/>
    <x v="2"/>
    <s v="Standard"/>
    <x v="2"/>
    <n v="249701.4"/>
  </r>
  <r>
    <s v="ORD10493"/>
    <x v="119"/>
    <x v="2"/>
    <x v="0"/>
    <x v="1"/>
    <x v="2"/>
    <x v="8"/>
    <n v="1192"/>
    <n v="476.8"/>
    <x v="0"/>
    <x v="1"/>
    <s v="Express"/>
    <x v="0"/>
    <n v="9059.1999999999898"/>
  </r>
  <r>
    <s v="ORD10494"/>
    <x v="108"/>
    <x v="0"/>
    <x v="0"/>
    <x v="2"/>
    <x v="0"/>
    <x v="5"/>
    <n v="7058"/>
    <n v="8469.6"/>
    <x v="0"/>
    <x v="1"/>
    <s v="Express"/>
    <x v="1"/>
    <n v="33878.400000000001"/>
  </r>
  <r>
    <s v="ORD10495"/>
    <x v="162"/>
    <x v="2"/>
    <x v="0"/>
    <x v="1"/>
    <x v="2"/>
    <x v="1"/>
    <n v="2321"/>
    <n v="464.20000000000005"/>
    <x v="1"/>
    <x v="0"/>
    <s v="Standard"/>
    <x v="1"/>
    <n v="8819.7999999999993"/>
  </r>
  <r>
    <s v="ORD10496"/>
    <x v="200"/>
    <x v="1"/>
    <x v="2"/>
    <x v="1"/>
    <x v="2"/>
    <x v="1"/>
    <n v="27360"/>
    <n v="21888"/>
    <x v="1"/>
    <x v="2"/>
    <s v="Standard"/>
    <x v="0"/>
    <n v="87552"/>
  </r>
  <r>
    <s v="ORD10497"/>
    <x v="265"/>
    <x v="2"/>
    <x v="1"/>
    <x v="1"/>
    <x v="4"/>
    <x v="5"/>
    <n v="45356"/>
    <n v="54427.200000000004"/>
    <x v="3"/>
    <x v="1"/>
    <s v="Same Day"/>
    <x v="0"/>
    <n v="217708.79999999999"/>
  </r>
  <r>
    <s v="ORD10498"/>
    <x v="77"/>
    <x v="1"/>
    <x v="2"/>
    <x v="1"/>
    <x v="0"/>
    <x v="1"/>
    <n v="21106"/>
    <n v="16884.8"/>
    <x v="0"/>
    <x v="2"/>
    <s v="Express"/>
    <x v="1"/>
    <n v="67539.199999999997"/>
  </r>
  <r>
    <s v="ORD10499"/>
    <x v="266"/>
    <x v="1"/>
    <x v="1"/>
    <x v="1"/>
    <x v="4"/>
    <x v="8"/>
    <n v="19772"/>
    <n v="7908.8"/>
    <x v="3"/>
    <x v="2"/>
    <s v="Standard"/>
    <x v="1"/>
    <n v="150267.19999999899"/>
  </r>
  <r>
    <s v="ORD10500"/>
    <x v="157"/>
    <x v="2"/>
    <x v="2"/>
    <x v="0"/>
    <x v="2"/>
    <x v="0"/>
    <n v="4336"/>
    <n v="5853.5999999999995"/>
    <x v="3"/>
    <x v="0"/>
    <s v="Standard"/>
    <x v="0"/>
    <n v="33170.400000000001"/>
  </r>
  <r>
    <s v="ORD10501"/>
    <x v="17"/>
    <x v="0"/>
    <x v="2"/>
    <x v="1"/>
    <x v="1"/>
    <x v="4"/>
    <n v="16927"/>
    <n v="846.35"/>
    <x v="0"/>
    <x v="1"/>
    <s v="Express"/>
    <x v="2"/>
    <n v="16080.65"/>
  </r>
  <r>
    <s v="ORD10502"/>
    <x v="126"/>
    <x v="3"/>
    <x v="0"/>
    <x v="1"/>
    <x v="2"/>
    <x v="1"/>
    <n v="32367"/>
    <n v="25893.600000000002"/>
    <x v="3"/>
    <x v="0"/>
    <s v="Standard"/>
    <x v="1"/>
    <n v="103574.39999999999"/>
  </r>
  <r>
    <s v="ORD10503"/>
    <x v="51"/>
    <x v="3"/>
    <x v="1"/>
    <x v="0"/>
    <x v="4"/>
    <x v="1"/>
    <n v="45621"/>
    <n v="18248.400000000001"/>
    <x v="0"/>
    <x v="1"/>
    <s v="Same Day"/>
    <x v="0"/>
    <n v="164235.6"/>
  </r>
  <r>
    <s v="ORD10504"/>
    <x v="13"/>
    <x v="1"/>
    <x v="2"/>
    <x v="0"/>
    <x v="0"/>
    <x v="7"/>
    <n v="15679"/>
    <n v="0"/>
    <x v="0"/>
    <x v="2"/>
    <s v="Same Day"/>
    <x v="2"/>
    <n v="31358"/>
  </r>
  <r>
    <s v="ORD10505"/>
    <x v="267"/>
    <x v="1"/>
    <x v="2"/>
    <x v="0"/>
    <x v="0"/>
    <x v="5"/>
    <n v="31576"/>
    <n v="37891.200000000004"/>
    <x v="0"/>
    <x v="1"/>
    <s v="Express"/>
    <x v="1"/>
    <n v="151564.79999999999"/>
  </r>
  <r>
    <s v="ORD10506"/>
    <x v="90"/>
    <x v="0"/>
    <x v="0"/>
    <x v="0"/>
    <x v="4"/>
    <x v="6"/>
    <n v="5023"/>
    <n v="1506.9"/>
    <x v="0"/>
    <x v="1"/>
    <s v="Same Day"/>
    <x v="1"/>
    <n v="13562.1"/>
  </r>
  <r>
    <s v="ORD10507"/>
    <x v="98"/>
    <x v="4"/>
    <x v="0"/>
    <x v="0"/>
    <x v="0"/>
    <x v="3"/>
    <n v="5120"/>
    <n v="5376"/>
    <x v="2"/>
    <x v="2"/>
    <s v="Standard"/>
    <x v="0"/>
    <n v="30464"/>
  </r>
  <r>
    <s v="ORD10508"/>
    <x v="115"/>
    <x v="2"/>
    <x v="1"/>
    <x v="0"/>
    <x v="3"/>
    <x v="2"/>
    <n v="19785"/>
    <n v="19785"/>
    <x v="0"/>
    <x v="2"/>
    <s v="Standard"/>
    <x v="2"/>
    <n v="79140"/>
  </r>
  <r>
    <s v="ORD10509"/>
    <x v="107"/>
    <x v="1"/>
    <x v="2"/>
    <x v="1"/>
    <x v="1"/>
    <x v="1"/>
    <n v="38439"/>
    <n v="15375.6"/>
    <x v="1"/>
    <x v="1"/>
    <s v="Standard"/>
    <x v="1"/>
    <n v="138380.4"/>
  </r>
  <r>
    <s v="ORD10510"/>
    <x v="97"/>
    <x v="3"/>
    <x v="1"/>
    <x v="1"/>
    <x v="1"/>
    <x v="2"/>
    <n v="17472"/>
    <n v="17472"/>
    <x v="1"/>
    <x v="0"/>
    <s v="Standard"/>
    <x v="2"/>
    <n v="69888"/>
  </r>
  <r>
    <s v="ORD10511"/>
    <x v="208"/>
    <x v="0"/>
    <x v="2"/>
    <x v="2"/>
    <x v="1"/>
    <x v="8"/>
    <n v="26819"/>
    <n v="10727.6"/>
    <x v="1"/>
    <x v="1"/>
    <s v="Express"/>
    <x v="2"/>
    <n v="203824.4"/>
  </r>
  <r>
    <s v="ORD10512"/>
    <x v="83"/>
    <x v="2"/>
    <x v="1"/>
    <x v="1"/>
    <x v="0"/>
    <x v="6"/>
    <n v="9733"/>
    <n v="2919.9"/>
    <x v="0"/>
    <x v="2"/>
    <s v="Same Day"/>
    <x v="1"/>
    <n v="26279.1"/>
  </r>
  <r>
    <s v="ORD10513"/>
    <x v="268"/>
    <x v="0"/>
    <x v="0"/>
    <x v="1"/>
    <x v="0"/>
    <x v="3"/>
    <n v="40095"/>
    <n v="14033.25"/>
    <x v="1"/>
    <x v="0"/>
    <s v="Same Day"/>
    <x v="2"/>
    <n v="266631.75"/>
  </r>
  <r>
    <s v="ORD10514"/>
    <x v="269"/>
    <x v="2"/>
    <x v="2"/>
    <x v="0"/>
    <x v="2"/>
    <x v="5"/>
    <n v="3920"/>
    <n v="1176"/>
    <x v="2"/>
    <x v="2"/>
    <s v="Standard"/>
    <x v="1"/>
    <n v="22344"/>
  </r>
  <r>
    <s v="ORD10515"/>
    <x v="270"/>
    <x v="2"/>
    <x v="1"/>
    <x v="0"/>
    <x v="2"/>
    <x v="4"/>
    <n v="19467"/>
    <n v="1946.7"/>
    <x v="3"/>
    <x v="2"/>
    <s v="Express"/>
    <x v="2"/>
    <n v="17520.3"/>
  </r>
  <r>
    <s v="ORD10516"/>
    <x v="65"/>
    <x v="1"/>
    <x v="0"/>
    <x v="1"/>
    <x v="1"/>
    <x v="3"/>
    <n v="15896"/>
    <n v="0"/>
    <x v="0"/>
    <x v="0"/>
    <s v="Standard"/>
    <x v="1"/>
    <n v="111272"/>
  </r>
  <r>
    <s v="ORD10517"/>
    <x v="257"/>
    <x v="0"/>
    <x v="0"/>
    <x v="2"/>
    <x v="3"/>
    <x v="3"/>
    <n v="30168"/>
    <n v="21117.600000000002"/>
    <x v="1"/>
    <x v="2"/>
    <s v="Standard"/>
    <x v="0"/>
    <n v="190058.4"/>
  </r>
  <r>
    <s v="ORD10518"/>
    <x v="271"/>
    <x v="0"/>
    <x v="1"/>
    <x v="0"/>
    <x v="2"/>
    <x v="4"/>
    <n v="23545"/>
    <n v="0"/>
    <x v="2"/>
    <x v="2"/>
    <s v="Express"/>
    <x v="1"/>
    <n v="23545"/>
  </r>
  <r>
    <s v="ORD10519"/>
    <x v="206"/>
    <x v="3"/>
    <x v="2"/>
    <x v="1"/>
    <x v="2"/>
    <x v="0"/>
    <n v="25893"/>
    <n v="46607.4"/>
    <x v="3"/>
    <x v="2"/>
    <s v="Express"/>
    <x v="1"/>
    <n v="186429.6"/>
  </r>
  <r>
    <s v="ORD10520"/>
    <x v="204"/>
    <x v="3"/>
    <x v="2"/>
    <x v="1"/>
    <x v="0"/>
    <x v="5"/>
    <n v="19585"/>
    <n v="23502"/>
    <x v="2"/>
    <x v="2"/>
    <s v="Standard"/>
    <x v="1"/>
    <n v="94008"/>
  </r>
  <r>
    <s v="ORD10521"/>
    <x v="25"/>
    <x v="1"/>
    <x v="0"/>
    <x v="2"/>
    <x v="3"/>
    <x v="7"/>
    <n v="18322"/>
    <n v="3664.4"/>
    <x v="1"/>
    <x v="2"/>
    <s v="Same Day"/>
    <x v="2"/>
    <n v="32979.599999999999"/>
  </r>
  <r>
    <s v="ORD10522"/>
    <x v="47"/>
    <x v="1"/>
    <x v="2"/>
    <x v="2"/>
    <x v="1"/>
    <x v="2"/>
    <n v="1564"/>
    <n v="1564"/>
    <x v="2"/>
    <x v="2"/>
    <s v="Standard"/>
    <x v="0"/>
    <n v="6256"/>
  </r>
  <r>
    <s v="ORD10523"/>
    <x v="54"/>
    <x v="4"/>
    <x v="2"/>
    <x v="0"/>
    <x v="2"/>
    <x v="1"/>
    <n v="2908"/>
    <n v="1744.8"/>
    <x v="3"/>
    <x v="2"/>
    <s v="Same Day"/>
    <x v="2"/>
    <n v="9887.1999999999898"/>
  </r>
  <r>
    <s v="ORD10524"/>
    <x v="8"/>
    <x v="3"/>
    <x v="2"/>
    <x v="2"/>
    <x v="3"/>
    <x v="3"/>
    <n v="13182"/>
    <n v="4613.7"/>
    <x v="1"/>
    <x v="2"/>
    <s v="Same Day"/>
    <x v="2"/>
    <n v="87660.3"/>
  </r>
  <r>
    <s v="ORD10525"/>
    <x v="272"/>
    <x v="2"/>
    <x v="0"/>
    <x v="1"/>
    <x v="3"/>
    <x v="8"/>
    <n v="17508"/>
    <n v="7003.2000000000007"/>
    <x v="3"/>
    <x v="2"/>
    <s v="Express"/>
    <x v="1"/>
    <n v="133060.79999999999"/>
  </r>
  <r>
    <s v="ORD10526"/>
    <x v="273"/>
    <x v="0"/>
    <x v="1"/>
    <x v="1"/>
    <x v="1"/>
    <x v="4"/>
    <n v="33119"/>
    <n v="0"/>
    <x v="2"/>
    <x v="1"/>
    <s v="Express"/>
    <x v="2"/>
    <n v="33119"/>
  </r>
  <r>
    <s v="ORD10527"/>
    <x v="53"/>
    <x v="1"/>
    <x v="2"/>
    <x v="2"/>
    <x v="3"/>
    <x v="2"/>
    <n v="25361"/>
    <n v="25361"/>
    <x v="0"/>
    <x v="1"/>
    <s v="Standard"/>
    <x v="1"/>
    <n v="101444"/>
  </r>
  <r>
    <s v="ORD10528"/>
    <x v="274"/>
    <x v="0"/>
    <x v="0"/>
    <x v="2"/>
    <x v="3"/>
    <x v="6"/>
    <n v="35289"/>
    <n v="0"/>
    <x v="0"/>
    <x v="2"/>
    <s v="Same Day"/>
    <x v="0"/>
    <n v="105867"/>
  </r>
  <r>
    <s v="ORD10529"/>
    <x v="273"/>
    <x v="0"/>
    <x v="0"/>
    <x v="2"/>
    <x v="3"/>
    <x v="4"/>
    <n v="14065"/>
    <n v="703.25"/>
    <x v="0"/>
    <x v="1"/>
    <s v="Same Day"/>
    <x v="2"/>
    <n v="13361.75"/>
  </r>
  <r>
    <s v="ORD10530"/>
    <x v="275"/>
    <x v="4"/>
    <x v="1"/>
    <x v="2"/>
    <x v="2"/>
    <x v="6"/>
    <n v="695"/>
    <n v="104.25"/>
    <x v="0"/>
    <x v="0"/>
    <s v="Standard"/>
    <x v="2"/>
    <n v="1980.75"/>
  </r>
  <r>
    <s v="ORD10531"/>
    <x v="276"/>
    <x v="3"/>
    <x v="2"/>
    <x v="0"/>
    <x v="1"/>
    <x v="5"/>
    <n v="44955"/>
    <n v="53946"/>
    <x v="3"/>
    <x v="1"/>
    <s v="Standard"/>
    <x v="2"/>
    <n v="215784"/>
  </r>
  <r>
    <s v="ORD10532"/>
    <x v="235"/>
    <x v="1"/>
    <x v="2"/>
    <x v="2"/>
    <x v="3"/>
    <x v="3"/>
    <n v="2348"/>
    <n v="2465.4"/>
    <x v="0"/>
    <x v="2"/>
    <s v="Standard"/>
    <x v="1"/>
    <n v="13970.6"/>
  </r>
  <r>
    <s v="ORD10533"/>
    <x v="23"/>
    <x v="0"/>
    <x v="1"/>
    <x v="0"/>
    <x v="3"/>
    <x v="8"/>
    <n v="33524"/>
    <n v="40228.799999999996"/>
    <x v="3"/>
    <x v="2"/>
    <s v="Express"/>
    <x v="1"/>
    <n v="227963.19999999899"/>
  </r>
  <r>
    <s v="ORD10534"/>
    <x v="214"/>
    <x v="1"/>
    <x v="1"/>
    <x v="1"/>
    <x v="2"/>
    <x v="1"/>
    <n v="13593"/>
    <n v="10874.400000000001"/>
    <x v="1"/>
    <x v="1"/>
    <s v="Standard"/>
    <x v="2"/>
    <n v="43497.599999999999"/>
  </r>
  <r>
    <s v="ORD10535"/>
    <x v="184"/>
    <x v="2"/>
    <x v="0"/>
    <x v="2"/>
    <x v="1"/>
    <x v="6"/>
    <n v="1752"/>
    <n v="1051.2"/>
    <x v="0"/>
    <x v="2"/>
    <s v="Standard"/>
    <x v="2"/>
    <n v="4204.8"/>
  </r>
  <r>
    <s v="ORD10536"/>
    <x v="78"/>
    <x v="4"/>
    <x v="0"/>
    <x v="0"/>
    <x v="0"/>
    <x v="2"/>
    <n v="36053"/>
    <n v="0"/>
    <x v="3"/>
    <x v="0"/>
    <s v="Same Day"/>
    <x v="0"/>
    <n v="180265"/>
  </r>
  <r>
    <s v="ORD10537"/>
    <x v="21"/>
    <x v="2"/>
    <x v="1"/>
    <x v="2"/>
    <x v="2"/>
    <x v="0"/>
    <n v="33124"/>
    <n v="59623.200000000004"/>
    <x v="0"/>
    <x v="0"/>
    <s v="Standard"/>
    <x v="0"/>
    <n v="238492.79999999999"/>
  </r>
  <r>
    <s v="ORD10538"/>
    <x v="277"/>
    <x v="1"/>
    <x v="2"/>
    <x v="1"/>
    <x v="1"/>
    <x v="5"/>
    <n v="9126"/>
    <n v="8213.4"/>
    <x v="0"/>
    <x v="2"/>
    <s v="Same Day"/>
    <x v="0"/>
    <n v="46542.6"/>
  </r>
  <r>
    <s v="ORD10539"/>
    <x v="278"/>
    <x v="1"/>
    <x v="0"/>
    <x v="1"/>
    <x v="3"/>
    <x v="0"/>
    <n v="31051"/>
    <n v="55891.8"/>
    <x v="0"/>
    <x v="0"/>
    <s v="Same Day"/>
    <x v="0"/>
    <n v="223567.2"/>
  </r>
  <r>
    <s v="ORD10540"/>
    <x v="261"/>
    <x v="3"/>
    <x v="0"/>
    <x v="1"/>
    <x v="1"/>
    <x v="5"/>
    <n v="24089"/>
    <n v="0"/>
    <x v="3"/>
    <x v="0"/>
    <s v="Express"/>
    <x v="0"/>
    <n v="144534"/>
  </r>
  <r>
    <s v="ORD10541"/>
    <x v="20"/>
    <x v="0"/>
    <x v="2"/>
    <x v="2"/>
    <x v="1"/>
    <x v="7"/>
    <n v="40130"/>
    <n v="0"/>
    <x v="2"/>
    <x v="1"/>
    <s v="Standard"/>
    <x v="1"/>
    <n v="80260"/>
  </r>
  <r>
    <s v="ORD10542"/>
    <x v="106"/>
    <x v="0"/>
    <x v="0"/>
    <x v="2"/>
    <x v="1"/>
    <x v="2"/>
    <n v="8255"/>
    <n v="0"/>
    <x v="0"/>
    <x v="0"/>
    <s v="Standard"/>
    <x v="0"/>
    <n v="41275"/>
  </r>
  <r>
    <s v="ORD10543"/>
    <x v="279"/>
    <x v="2"/>
    <x v="2"/>
    <x v="0"/>
    <x v="0"/>
    <x v="0"/>
    <n v="4854"/>
    <n v="0"/>
    <x v="0"/>
    <x v="1"/>
    <s v="Same Day"/>
    <x v="0"/>
    <n v="43686"/>
  </r>
  <r>
    <s v="ORD10544"/>
    <x v="103"/>
    <x v="4"/>
    <x v="2"/>
    <x v="1"/>
    <x v="1"/>
    <x v="8"/>
    <n v="22834"/>
    <n v="18267.2"/>
    <x v="1"/>
    <x v="2"/>
    <s v="Express"/>
    <x v="2"/>
    <n v="164404.79999999999"/>
  </r>
  <r>
    <s v="ORD10545"/>
    <x v="124"/>
    <x v="0"/>
    <x v="2"/>
    <x v="2"/>
    <x v="0"/>
    <x v="3"/>
    <n v="32563"/>
    <n v="45588.200000000004"/>
    <x v="2"/>
    <x v="1"/>
    <s v="Express"/>
    <x v="1"/>
    <n v="182352.8"/>
  </r>
  <r>
    <s v="ORD10546"/>
    <x v="119"/>
    <x v="3"/>
    <x v="1"/>
    <x v="1"/>
    <x v="3"/>
    <x v="4"/>
    <n v="11668"/>
    <n v="583.4"/>
    <x v="3"/>
    <x v="2"/>
    <s v="Standard"/>
    <x v="0"/>
    <n v="11084.6"/>
  </r>
  <r>
    <s v="ORD10547"/>
    <x v="13"/>
    <x v="2"/>
    <x v="1"/>
    <x v="1"/>
    <x v="0"/>
    <x v="1"/>
    <n v="33122"/>
    <n v="26497.600000000002"/>
    <x v="1"/>
    <x v="2"/>
    <s v="Same Day"/>
    <x v="0"/>
    <n v="105990.39999999999"/>
  </r>
  <r>
    <s v="ORD10548"/>
    <x v="175"/>
    <x v="2"/>
    <x v="1"/>
    <x v="0"/>
    <x v="3"/>
    <x v="3"/>
    <n v="40918"/>
    <n v="28642.600000000002"/>
    <x v="0"/>
    <x v="2"/>
    <s v="Standard"/>
    <x v="0"/>
    <n v="257783.4"/>
  </r>
  <r>
    <s v="ORD10549"/>
    <x v="32"/>
    <x v="3"/>
    <x v="2"/>
    <x v="0"/>
    <x v="3"/>
    <x v="3"/>
    <n v="48291"/>
    <n v="0"/>
    <x v="1"/>
    <x v="2"/>
    <s v="Standard"/>
    <x v="2"/>
    <n v="338037"/>
  </r>
  <r>
    <s v="ORD10550"/>
    <x v="155"/>
    <x v="4"/>
    <x v="2"/>
    <x v="0"/>
    <x v="0"/>
    <x v="5"/>
    <n v="17580"/>
    <n v="10548"/>
    <x v="1"/>
    <x v="2"/>
    <s v="Standard"/>
    <x v="2"/>
    <n v="94932"/>
  </r>
  <r>
    <s v="ORD10551"/>
    <x v="182"/>
    <x v="3"/>
    <x v="1"/>
    <x v="0"/>
    <x v="2"/>
    <x v="8"/>
    <n v="27070"/>
    <n v="32484"/>
    <x v="0"/>
    <x v="1"/>
    <s v="Standard"/>
    <x v="2"/>
    <n v="184076"/>
  </r>
  <r>
    <s v="ORD10552"/>
    <x v="97"/>
    <x v="4"/>
    <x v="0"/>
    <x v="1"/>
    <x v="4"/>
    <x v="5"/>
    <n v="37594"/>
    <n v="33834.6"/>
    <x v="2"/>
    <x v="2"/>
    <s v="Same Day"/>
    <x v="0"/>
    <n v="191729.4"/>
  </r>
  <r>
    <s v="ORD10553"/>
    <x v="280"/>
    <x v="3"/>
    <x v="2"/>
    <x v="0"/>
    <x v="1"/>
    <x v="6"/>
    <n v="14459"/>
    <n v="8675.4"/>
    <x v="2"/>
    <x v="0"/>
    <s v="Express"/>
    <x v="2"/>
    <n v="34701.599999999999"/>
  </r>
  <r>
    <s v="ORD10554"/>
    <x v="125"/>
    <x v="3"/>
    <x v="0"/>
    <x v="0"/>
    <x v="4"/>
    <x v="1"/>
    <n v="15073"/>
    <n v="12058.400000000001"/>
    <x v="1"/>
    <x v="0"/>
    <s v="Standard"/>
    <x v="0"/>
    <n v="48233.599999999999"/>
  </r>
  <r>
    <s v="ORD10555"/>
    <x v="246"/>
    <x v="1"/>
    <x v="0"/>
    <x v="0"/>
    <x v="1"/>
    <x v="6"/>
    <n v="13216"/>
    <n v="1982.4"/>
    <x v="0"/>
    <x v="2"/>
    <s v="Standard"/>
    <x v="1"/>
    <n v="37665.599999999999"/>
  </r>
  <r>
    <s v="ORD10556"/>
    <x v="78"/>
    <x v="2"/>
    <x v="2"/>
    <x v="0"/>
    <x v="1"/>
    <x v="4"/>
    <n v="42337"/>
    <n v="2116.85"/>
    <x v="3"/>
    <x v="0"/>
    <s v="Standard"/>
    <x v="0"/>
    <n v="40220.15"/>
  </r>
  <r>
    <s v="ORD10557"/>
    <x v="223"/>
    <x v="3"/>
    <x v="2"/>
    <x v="1"/>
    <x v="3"/>
    <x v="2"/>
    <n v="353"/>
    <n v="264.75"/>
    <x v="1"/>
    <x v="1"/>
    <s v="Standard"/>
    <x v="2"/>
    <n v="1500.25"/>
  </r>
  <r>
    <s v="ORD10558"/>
    <x v="281"/>
    <x v="3"/>
    <x v="0"/>
    <x v="0"/>
    <x v="1"/>
    <x v="4"/>
    <n v="8053"/>
    <n v="0"/>
    <x v="3"/>
    <x v="1"/>
    <s v="Express"/>
    <x v="1"/>
    <n v="8053"/>
  </r>
  <r>
    <s v="ORD10559"/>
    <x v="135"/>
    <x v="0"/>
    <x v="0"/>
    <x v="1"/>
    <x v="1"/>
    <x v="4"/>
    <n v="12579"/>
    <n v="1257.9000000000001"/>
    <x v="1"/>
    <x v="2"/>
    <s v="Express"/>
    <x v="0"/>
    <n v="11321.1"/>
  </r>
  <r>
    <s v="ORD10560"/>
    <x v="219"/>
    <x v="2"/>
    <x v="1"/>
    <x v="2"/>
    <x v="0"/>
    <x v="7"/>
    <n v="15992"/>
    <n v="1599.2"/>
    <x v="1"/>
    <x v="2"/>
    <s v="Express"/>
    <x v="1"/>
    <n v="30384.799999999999"/>
  </r>
  <r>
    <s v="ORD10561"/>
    <x v="100"/>
    <x v="0"/>
    <x v="1"/>
    <x v="1"/>
    <x v="4"/>
    <x v="1"/>
    <n v="38567"/>
    <n v="7713.4000000000005"/>
    <x v="0"/>
    <x v="2"/>
    <s v="Express"/>
    <x v="1"/>
    <n v="146554.6"/>
  </r>
  <r>
    <s v="ORD10562"/>
    <x v="282"/>
    <x v="2"/>
    <x v="2"/>
    <x v="1"/>
    <x v="0"/>
    <x v="5"/>
    <n v="18300"/>
    <n v="0"/>
    <x v="0"/>
    <x v="0"/>
    <s v="Standard"/>
    <x v="1"/>
    <n v="109800"/>
  </r>
  <r>
    <s v="ORD10563"/>
    <x v="78"/>
    <x v="0"/>
    <x v="1"/>
    <x v="0"/>
    <x v="1"/>
    <x v="8"/>
    <n v="47753"/>
    <n v="0"/>
    <x v="3"/>
    <x v="0"/>
    <s v="Same Day"/>
    <x v="0"/>
    <n v="382024"/>
  </r>
  <r>
    <s v="ORD10564"/>
    <x v="216"/>
    <x v="3"/>
    <x v="1"/>
    <x v="2"/>
    <x v="3"/>
    <x v="6"/>
    <n v="11249"/>
    <n v="6749.4000000000005"/>
    <x v="3"/>
    <x v="1"/>
    <s v="Express"/>
    <x v="2"/>
    <n v="26997.599999999999"/>
  </r>
  <r>
    <s v="ORD10565"/>
    <x v="127"/>
    <x v="3"/>
    <x v="1"/>
    <x v="2"/>
    <x v="0"/>
    <x v="4"/>
    <n v="986"/>
    <n v="98.600000000000009"/>
    <x v="2"/>
    <x v="0"/>
    <s v="Express"/>
    <x v="0"/>
    <n v="887.4"/>
  </r>
  <r>
    <s v="ORD10566"/>
    <x v="283"/>
    <x v="1"/>
    <x v="1"/>
    <x v="2"/>
    <x v="0"/>
    <x v="6"/>
    <n v="4568"/>
    <n v="0"/>
    <x v="0"/>
    <x v="1"/>
    <s v="Standard"/>
    <x v="2"/>
    <n v="13704"/>
  </r>
  <r>
    <s v="ORD10567"/>
    <x v="279"/>
    <x v="0"/>
    <x v="0"/>
    <x v="2"/>
    <x v="2"/>
    <x v="6"/>
    <n v="30899"/>
    <n v="4634.8500000000004"/>
    <x v="1"/>
    <x v="0"/>
    <s v="Standard"/>
    <x v="0"/>
    <n v="88062.15"/>
  </r>
  <r>
    <s v="ORD10568"/>
    <x v="11"/>
    <x v="4"/>
    <x v="2"/>
    <x v="1"/>
    <x v="1"/>
    <x v="2"/>
    <n v="47891"/>
    <n v="11972.75"/>
    <x v="1"/>
    <x v="1"/>
    <s v="Standard"/>
    <x v="0"/>
    <n v="227482.25"/>
  </r>
  <r>
    <s v="ORD10569"/>
    <x v="141"/>
    <x v="1"/>
    <x v="1"/>
    <x v="2"/>
    <x v="3"/>
    <x v="1"/>
    <n v="37240"/>
    <n v="22344"/>
    <x v="2"/>
    <x v="2"/>
    <s v="Standard"/>
    <x v="0"/>
    <n v="126616"/>
  </r>
  <r>
    <s v="ORD10570"/>
    <x v="254"/>
    <x v="0"/>
    <x v="0"/>
    <x v="1"/>
    <x v="0"/>
    <x v="1"/>
    <n v="27654"/>
    <n v="0"/>
    <x v="0"/>
    <x v="0"/>
    <s v="Same Day"/>
    <x v="2"/>
    <n v="110616"/>
  </r>
  <r>
    <s v="ORD10571"/>
    <x v="48"/>
    <x v="0"/>
    <x v="0"/>
    <x v="1"/>
    <x v="0"/>
    <x v="0"/>
    <n v="38962"/>
    <n v="70131.600000000006"/>
    <x v="1"/>
    <x v="1"/>
    <s v="Same Day"/>
    <x v="0"/>
    <n v="280526.40000000002"/>
  </r>
  <r>
    <s v="ORD10572"/>
    <x v="130"/>
    <x v="1"/>
    <x v="0"/>
    <x v="1"/>
    <x v="3"/>
    <x v="3"/>
    <n v="23800"/>
    <n v="16660"/>
    <x v="2"/>
    <x v="0"/>
    <s v="Express"/>
    <x v="1"/>
    <n v="149940"/>
  </r>
  <r>
    <s v="ORD10573"/>
    <x v="55"/>
    <x v="3"/>
    <x v="1"/>
    <x v="2"/>
    <x v="1"/>
    <x v="1"/>
    <n v="29438"/>
    <n v="23550.400000000001"/>
    <x v="2"/>
    <x v="2"/>
    <s v="Same Day"/>
    <x v="0"/>
    <n v="94201.600000000006"/>
  </r>
  <r>
    <s v="ORD10574"/>
    <x v="211"/>
    <x v="0"/>
    <x v="1"/>
    <x v="0"/>
    <x v="2"/>
    <x v="6"/>
    <n v="25441"/>
    <n v="3816.15"/>
    <x v="1"/>
    <x v="1"/>
    <s v="Express"/>
    <x v="1"/>
    <n v="72506.849999999904"/>
  </r>
  <r>
    <s v="ORD10575"/>
    <x v="118"/>
    <x v="3"/>
    <x v="2"/>
    <x v="0"/>
    <x v="0"/>
    <x v="5"/>
    <n v="20010"/>
    <n v="24012"/>
    <x v="1"/>
    <x v="0"/>
    <s v="Express"/>
    <x v="2"/>
    <n v="96048"/>
  </r>
  <r>
    <s v="ORD10576"/>
    <x v="284"/>
    <x v="1"/>
    <x v="1"/>
    <x v="2"/>
    <x v="2"/>
    <x v="6"/>
    <n v="20367"/>
    <n v="3055.05"/>
    <x v="3"/>
    <x v="0"/>
    <s v="Same Day"/>
    <x v="2"/>
    <n v="58045.95"/>
  </r>
  <r>
    <s v="ORD10577"/>
    <x v="165"/>
    <x v="3"/>
    <x v="1"/>
    <x v="0"/>
    <x v="4"/>
    <x v="5"/>
    <n v="22011"/>
    <n v="6603.3"/>
    <x v="0"/>
    <x v="2"/>
    <s v="Express"/>
    <x v="0"/>
    <n v="125462.7"/>
  </r>
  <r>
    <s v="ORD10578"/>
    <x v="252"/>
    <x v="2"/>
    <x v="0"/>
    <x v="0"/>
    <x v="1"/>
    <x v="0"/>
    <n v="39979"/>
    <n v="17990.55"/>
    <x v="3"/>
    <x v="2"/>
    <s v="Standard"/>
    <x v="0"/>
    <n v="341820.45"/>
  </r>
  <r>
    <s v="ORD10579"/>
    <x v="103"/>
    <x v="4"/>
    <x v="2"/>
    <x v="1"/>
    <x v="4"/>
    <x v="5"/>
    <n v="20285"/>
    <n v="6085.5"/>
    <x v="2"/>
    <x v="1"/>
    <s v="Express"/>
    <x v="0"/>
    <n v="115624.5"/>
  </r>
  <r>
    <s v="ORD10580"/>
    <x v="285"/>
    <x v="0"/>
    <x v="1"/>
    <x v="1"/>
    <x v="4"/>
    <x v="1"/>
    <n v="47054"/>
    <n v="9410.8000000000011"/>
    <x v="1"/>
    <x v="0"/>
    <s v="Standard"/>
    <x v="1"/>
    <n v="178805.19999999899"/>
  </r>
  <r>
    <s v="ORD10581"/>
    <x v="50"/>
    <x v="4"/>
    <x v="1"/>
    <x v="2"/>
    <x v="4"/>
    <x v="2"/>
    <n v="9461"/>
    <n v="7095.75"/>
    <x v="3"/>
    <x v="0"/>
    <s v="Same Day"/>
    <x v="2"/>
    <n v="40209.25"/>
  </r>
  <r>
    <s v="ORD10582"/>
    <x v="175"/>
    <x v="3"/>
    <x v="0"/>
    <x v="2"/>
    <x v="1"/>
    <x v="5"/>
    <n v="18933"/>
    <n v="22719.600000000002"/>
    <x v="2"/>
    <x v="2"/>
    <s v="Same Day"/>
    <x v="1"/>
    <n v="90878.399999999994"/>
  </r>
  <r>
    <s v="ORD10583"/>
    <x v="165"/>
    <x v="0"/>
    <x v="0"/>
    <x v="0"/>
    <x v="1"/>
    <x v="6"/>
    <n v="39979"/>
    <n v="17990.55"/>
    <x v="0"/>
    <x v="2"/>
    <s v="Express"/>
    <x v="1"/>
    <n v="101946.45"/>
  </r>
  <r>
    <s v="ORD10584"/>
    <x v="286"/>
    <x v="3"/>
    <x v="1"/>
    <x v="1"/>
    <x v="3"/>
    <x v="8"/>
    <n v="29279"/>
    <n v="35134.799999999996"/>
    <x v="1"/>
    <x v="1"/>
    <s v="Standard"/>
    <x v="0"/>
    <n v="199097.19999999899"/>
  </r>
  <r>
    <s v="ORD10585"/>
    <x v="173"/>
    <x v="2"/>
    <x v="2"/>
    <x v="2"/>
    <x v="2"/>
    <x v="1"/>
    <n v="34180"/>
    <n v="0"/>
    <x v="3"/>
    <x v="0"/>
    <s v="Express"/>
    <x v="0"/>
    <n v="136720"/>
  </r>
  <r>
    <s v="ORD10586"/>
    <x v="287"/>
    <x v="1"/>
    <x v="2"/>
    <x v="2"/>
    <x v="2"/>
    <x v="8"/>
    <n v="14341"/>
    <n v="0"/>
    <x v="0"/>
    <x v="0"/>
    <s v="Same Day"/>
    <x v="1"/>
    <n v="114728"/>
  </r>
  <r>
    <s v="ORD10587"/>
    <x v="205"/>
    <x v="0"/>
    <x v="0"/>
    <x v="2"/>
    <x v="3"/>
    <x v="6"/>
    <n v="9544"/>
    <n v="0"/>
    <x v="3"/>
    <x v="1"/>
    <s v="Express"/>
    <x v="1"/>
    <n v="28632"/>
  </r>
  <r>
    <s v="ORD10588"/>
    <x v="114"/>
    <x v="2"/>
    <x v="0"/>
    <x v="2"/>
    <x v="3"/>
    <x v="3"/>
    <n v="39672"/>
    <n v="27770.400000000001"/>
    <x v="2"/>
    <x v="1"/>
    <s v="Express"/>
    <x v="0"/>
    <n v="249933.6"/>
  </r>
  <r>
    <s v="ORD10589"/>
    <x v="232"/>
    <x v="2"/>
    <x v="1"/>
    <x v="2"/>
    <x v="4"/>
    <x v="0"/>
    <n v="16096"/>
    <n v="0"/>
    <x v="0"/>
    <x v="2"/>
    <s v="Standard"/>
    <x v="0"/>
    <n v="144864"/>
  </r>
  <r>
    <s v="ORD10590"/>
    <x v="211"/>
    <x v="0"/>
    <x v="0"/>
    <x v="2"/>
    <x v="3"/>
    <x v="1"/>
    <n v="24017"/>
    <n v="19213.600000000002"/>
    <x v="3"/>
    <x v="2"/>
    <s v="Same Day"/>
    <x v="1"/>
    <n v="76854.399999999994"/>
  </r>
  <r>
    <s v="ORD10591"/>
    <x v="7"/>
    <x v="3"/>
    <x v="1"/>
    <x v="0"/>
    <x v="0"/>
    <x v="8"/>
    <n v="30013"/>
    <n v="36015.599999999999"/>
    <x v="0"/>
    <x v="1"/>
    <s v="Express"/>
    <x v="0"/>
    <n v="204088.4"/>
  </r>
  <r>
    <s v="ORD10592"/>
    <x v="288"/>
    <x v="2"/>
    <x v="2"/>
    <x v="1"/>
    <x v="2"/>
    <x v="6"/>
    <n v="19095"/>
    <n v="11457"/>
    <x v="2"/>
    <x v="1"/>
    <s v="Standard"/>
    <x v="0"/>
    <n v="45828"/>
  </r>
  <r>
    <s v="ORD10593"/>
    <x v="90"/>
    <x v="4"/>
    <x v="2"/>
    <x v="1"/>
    <x v="3"/>
    <x v="3"/>
    <n v="343"/>
    <n v="0"/>
    <x v="0"/>
    <x v="0"/>
    <s v="Express"/>
    <x v="1"/>
    <n v="2401"/>
  </r>
  <r>
    <s v="ORD10594"/>
    <x v="8"/>
    <x v="2"/>
    <x v="1"/>
    <x v="2"/>
    <x v="0"/>
    <x v="6"/>
    <n v="10881"/>
    <n v="3264.3"/>
    <x v="3"/>
    <x v="1"/>
    <s v="Standard"/>
    <x v="1"/>
    <n v="29378.7"/>
  </r>
  <r>
    <s v="ORD10595"/>
    <x v="289"/>
    <x v="3"/>
    <x v="0"/>
    <x v="1"/>
    <x v="0"/>
    <x v="3"/>
    <n v="7567"/>
    <n v="5296.9000000000005"/>
    <x v="2"/>
    <x v="1"/>
    <s v="Standard"/>
    <x v="2"/>
    <n v="47672.1"/>
  </r>
  <r>
    <s v="ORD10596"/>
    <x v="290"/>
    <x v="3"/>
    <x v="2"/>
    <x v="1"/>
    <x v="0"/>
    <x v="5"/>
    <n v="3428"/>
    <n v="3085.2"/>
    <x v="1"/>
    <x v="0"/>
    <s v="Express"/>
    <x v="1"/>
    <n v="17482.8"/>
  </r>
  <r>
    <s v="ORD10597"/>
    <x v="9"/>
    <x v="4"/>
    <x v="0"/>
    <x v="1"/>
    <x v="0"/>
    <x v="7"/>
    <n v="4782"/>
    <n v="1912.8000000000002"/>
    <x v="3"/>
    <x v="1"/>
    <s v="Same Day"/>
    <x v="0"/>
    <n v="7651.2"/>
  </r>
  <r>
    <s v="ORD10598"/>
    <x v="291"/>
    <x v="2"/>
    <x v="2"/>
    <x v="2"/>
    <x v="4"/>
    <x v="6"/>
    <n v="13347"/>
    <n v="2002.0500000000002"/>
    <x v="3"/>
    <x v="2"/>
    <s v="Same Day"/>
    <x v="1"/>
    <n v="38038.949999999997"/>
  </r>
  <r>
    <s v="ORD10599"/>
    <x v="248"/>
    <x v="3"/>
    <x v="1"/>
    <x v="2"/>
    <x v="0"/>
    <x v="5"/>
    <n v="11597"/>
    <n v="13916.400000000001"/>
    <x v="2"/>
    <x v="2"/>
    <s v="Standard"/>
    <x v="1"/>
    <n v="55665.599999999999"/>
  </r>
  <r>
    <s v="ORD10600"/>
    <x v="254"/>
    <x v="0"/>
    <x v="1"/>
    <x v="1"/>
    <x v="4"/>
    <x v="1"/>
    <n v="38999"/>
    <n v="0"/>
    <x v="2"/>
    <x v="0"/>
    <s v="Same Day"/>
    <x v="1"/>
    <n v="155996"/>
  </r>
  <r>
    <s v="ORD10601"/>
    <x v="85"/>
    <x v="1"/>
    <x v="1"/>
    <x v="1"/>
    <x v="4"/>
    <x v="5"/>
    <n v="37211"/>
    <n v="11163.300000000001"/>
    <x v="1"/>
    <x v="1"/>
    <s v="Standard"/>
    <x v="2"/>
    <n v="212102.69999999899"/>
  </r>
  <r>
    <s v="ORD10602"/>
    <x v="292"/>
    <x v="1"/>
    <x v="2"/>
    <x v="2"/>
    <x v="0"/>
    <x v="4"/>
    <n v="13847"/>
    <n v="1384.7"/>
    <x v="3"/>
    <x v="2"/>
    <s v="Same Day"/>
    <x v="2"/>
    <n v="12462.3"/>
  </r>
  <r>
    <s v="ORD10603"/>
    <x v="25"/>
    <x v="1"/>
    <x v="0"/>
    <x v="0"/>
    <x v="2"/>
    <x v="4"/>
    <n v="27918"/>
    <n v="4187.7"/>
    <x v="2"/>
    <x v="2"/>
    <s v="Express"/>
    <x v="0"/>
    <n v="23730.3"/>
  </r>
  <r>
    <s v="ORD10604"/>
    <x v="195"/>
    <x v="2"/>
    <x v="0"/>
    <x v="1"/>
    <x v="0"/>
    <x v="6"/>
    <n v="44464"/>
    <n v="20008.8"/>
    <x v="1"/>
    <x v="2"/>
    <s v="Same Day"/>
    <x v="2"/>
    <n v="113383.2"/>
  </r>
  <r>
    <s v="ORD10605"/>
    <x v="293"/>
    <x v="4"/>
    <x v="0"/>
    <x v="0"/>
    <x v="0"/>
    <x v="8"/>
    <n v="42517"/>
    <n v="34013.599999999999"/>
    <x v="1"/>
    <x v="2"/>
    <s v="Standard"/>
    <x v="1"/>
    <n v="306122.40000000002"/>
  </r>
  <r>
    <s v="ORD10606"/>
    <x v="213"/>
    <x v="3"/>
    <x v="2"/>
    <x v="1"/>
    <x v="0"/>
    <x v="8"/>
    <n v="48114"/>
    <n v="0"/>
    <x v="2"/>
    <x v="1"/>
    <s v="Standard"/>
    <x v="2"/>
    <n v="384912"/>
  </r>
  <r>
    <s v="ORD10607"/>
    <x v="294"/>
    <x v="0"/>
    <x v="2"/>
    <x v="0"/>
    <x v="2"/>
    <x v="1"/>
    <n v="19297"/>
    <n v="7718.8"/>
    <x v="3"/>
    <x v="1"/>
    <s v="Same Day"/>
    <x v="1"/>
    <n v="69469.2"/>
  </r>
  <r>
    <s v="ORD10608"/>
    <x v="268"/>
    <x v="0"/>
    <x v="2"/>
    <x v="0"/>
    <x v="1"/>
    <x v="5"/>
    <n v="37153"/>
    <n v="0"/>
    <x v="0"/>
    <x v="1"/>
    <s v="Express"/>
    <x v="2"/>
    <n v="222918"/>
  </r>
  <r>
    <s v="ORD10609"/>
    <x v="30"/>
    <x v="2"/>
    <x v="2"/>
    <x v="0"/>
    <x v="1"/>
    <x v="8"/>
    <n v="45454"/>
    <n v="18181.600000000002"/>
    <x v="0"/>
    <x v="1"/>
    <s v="Standard"/>
    <x v="2"/>
    <n v="345450.39999999898"/>
  </r>
  <r>
    <s v="ORD10610"/>
    <x v="112"/>
    <x v="1"/>
    <x v="2"/>
    <x v="2"/>
    <x v="4"/>
    <x v="3"/>
    <n v="40296"/>
    <n v="28207.200000000001"/>
    <x v="1"/>
    <x v="2"/>
    <s v="Standard"/>
    <x v="2"/>
    <n v="253864.8"/>
  </r>
  <r>
    <s v="ORD10611"/>
    <x v="7"/>
    <x v="2"/>
    <x v="0"/>
    <x v="0"/>
    <x v="4"/>
    <x v="3"/>
    <n v="49652"/>
    <n v="0"/>
    <x v="0"/>
    <x v="0"/>
    <s v="Standard"/>
    <x v="1"/>
    <n v="347564"/>
  </r>
  <r>
    <s v="ORD10612"/>
    <x v="187"/>
    <x v="4"/>
    <x v="2"/>
    <x v="0"/>
    <x v="2"/>
    <x v="1"/>
    <n v="17307"/>
    <n v="3461.4"/>
    <x v="0"/>
    <x v="0"/>
    <s v="Standard"/>
    <x v="2"/>
    <n v="65766.599999999904"/>
  </r>
  <r>
    <s v="ORD10613"/>
    <x v="109"/>
    <x v="4"/>
    <x v="2"/>
    <x v="0"/>
    <x v="3"/>
    <x v="0"/>
    <n v="3210"/>
    <n v="2889"/>
    <x v="2"/>
    <x v="2"/>
    <s v="Standard"/>
    <x v="1"/>
    <n v="26001"/>
  </r>
  <r>
    <s v="ORD10614"/>
    <x v="123"/>
    <x v="3"/>
    <x v="0"/>
    <x v="1"/>
    <x v="1"/>
    <x v="5"/>
    <n v="5755"/>
    <n v="5179.5"/>
    <x v="1"/>
    <x v="2"/>
    <s v="Express"/>
    <x v="1"/>
    <n v="29350.5"/>
  </r>
  <r>
    <s v="ORD10615"/>
    <x v="146"/>
    <x v="3"/>
    <x v="2"/>
    <x v="0"/>
    <x v="4"/>
    <x v="6"/>
    <n v="267"/>
    <n v="80.100000000000009"/>
    <x v="3"/>
    <x v="0"/>
    <s v="Same Day"/>
    <x v="0"/>
    <n v="720.9"/>
  </r>
  <r>
    <s v="ORD10616"/>
    <x v="284"/>
    <x v="4"/>
    <x v="0"/>
    <x v="1"/>
    <x v="1"/>
    <x v="2"/>
    <n v="28612"/>
    <n v="28612"/>
    <x v="1"/>
    <x v="0"/>
    <s v="Express"/>
    <x v="2"/>
    <n v="114448"/>
  </r>
  <r>
    <s v="ORD10617"/>
    <x v="87"/>
    <x v="4"/>
    <x v="0"/>
    <x v="0"/>
    <x v="2"/>
    <x v="2"/>
    <n v="45153"/>
    <n v="22576.5"/>
    <x v="2"/>
    <x v="2"/>
    <s v="Express"/>
    <x v="0"/>
    <n v="203188.5"/>
  </r>
  <r>
    <s v="ORD10618"/>
    <x v="196"/>
    <x v="4"/>
    <x v="1"/>
    <x v="0"/>
    <x v="2"/>
    <x v="2"/>
    <n v="34505"/>
    <n v="34505"/>
    <x v="0"/>
    <x v="2"/>
    <s v="Standard"/>
    <x v="0"/>
    <n v="138020"/>
  </r>
  <r>
    <s v="ORD10619"/>
    <x v="228"/>
    <x v="2"/>
    <x v="1"/>
    <x v="2"/>
    <x v="3"/>
    <x v="8"/>
    <n v="49749"/>
    <n v="19899.600000000002"/>
    <x v="3"/>
    <x v="1"/>
    <s v="Express"/>
    <x v="1"/>
    <n v="378092.39999999898"/>
  </r>
  <r>
    <s v="ORD10620"/>
    <x v="216"/>
    <x v="4"/>
    <x v="1"/>
    <x v="1"/>
    <x v="3"/>
    <x v="0"/>
    <n v="11749"/>
    <n v="10574.1"/>
    <x v="1"/>
    <x v="1"/>
    <s v="Standard"/>
    <x v="2"/>
    <n v="95166.9"/>
  </r>
  <r>
    <s v="ORD10621"/>
    <x v="241"/>
    <x v="0"/>
    <x v="1"/>
    <x v="0"/>
    <x v="2"/>
    <x v="0"/>
    <n v="5880"/>
    <n v="2646"/>
    <x v="0"/>
    <x v="0"/>
    <s v="Express"/>
    <x v="1"/>
    <n v="50274"/>
  </r>
  <r>
    <s v="ORD10622"/>
    <x v="84"/>
    <x v="1"/>
    <x v="2"/>
    <x v="1"/>
    <x v="4"/>
    <x v="5"/>
    <n v="25939"/>
    <n v="7781.7000000000007"/>
    <x v="1"/>
    <x v="2"/>
    <s v="Standard"/>
    <x v="1"/>
    <n v="147852.29999999999"/>
  </r>
  <r>
    <s v="ORD10623"/>
    <x v="78"/>
    <x v="4"/>
    <x v="1"/>
    <x v="1"/>
    <x v="1"/>
    <x v="5"/>
    <n v="21409"/>
    <n v="0"/>
    <x v="3"/>
    <x v="0"/>
    <s v="Standard"/>
    <x v="2"/>
    <n v="128454"/>
  </r>
  <r>
    <s v="ORD10624"/>
    <x v="82"/>
    <x v="1"/>
    <x v="0"/>
    <x v="2"/>
    <x v="0"/>
    <x v="0"/>
    <n v="41715"/>
    <n v="18771.75"/>
    <x v="1"/>
    <x v="1"/>
    <s v="Express"/>
    <x v="1"/>
    <n v="356663.25"/>
  </r>
  <r>
    <s v="ORD10625"/>
    <x v="295"/>
    <x v="2"/>
    <x v="2"/>
    <x v="2"/>
    <x v="3"/>
    <x v="1"/>
    <n v="22632"/>
    <n v="4526.4000000000005"/>
    <x v="1"/>
    <x v="1"/>
    <s v="Express"/>
    <x v="2"/>
    <n v="86001.599999999904"/>
  </r>
  <r>
    <s v="ORD10626"/>
    <x v="296"/>
    <x v="1"/>
    <x v="1"/>
    <x v="2"/>
    <x v="0"/>
    <x v="5"/>
    <n v="15316"/>
    <n v="9189.6"/>
    <x v="1"/>
    <x v="0"/>
    <s v="Same Day"/>
    <x v="2"/>
    <n v="82706.399999999994"/>
  </r>
  <r>
    <s v="ORD10627"/>
    <x v="297"/>
    <x v="2"/>
    <x v="0"/>
    <x v="2"/>
    <x v="4"/>
    <x v="1"/>
    <n v="20245"/>
    <n v="8098"/>
    <x v="0"/>
    <x v="1"/>
    <s v="Same Day"/>
    <x v="1"/>
    <n v="72882"/>
  </r>
  <r>
    <s v="ORD10628"/>
    <x v="71"/>
    <x v="0"/>
    <x v="2"/>
    <x v="2"/>
    <x v="3"/>
    <x v="4"/>
    <n v="26527"/>
    <n v="3979.0499999999997"/>
    <x v="3"/>
    <x v="2"/>
    <s v="Same Day"/>
    <x v="1"/>
    <n v="22547.95"/>
  </r>
  <r>
    <s v="ORD10629"/>
    <x v="243"/>
    <x v="2"/>
    <x v="2"/>
    <x v="2"/>
    <x v="0"/>
    <x v="3"/>
    <n v="35909"/>
    <n v="0"/>
    <x v="3"/>
    <x v="0"/>
    <s v="Express"/>
    <x v="0"/>
    <n v="251363"/>
  </r>
  <r>
    <s v="ORD10630"/>
    <x v="35"/>
    <x v="2"/>
    <x v="1"/>
    <x v="2"/>
    <x v="4"/>
    <x v="5"/>
    <n v="43817"/>
    <n v="13145.1"/>
    <x v="0"/>
    <x v="2"/>
    <s v="Express"/>
    <x v="1"/>
    <n v="249756.9"/>
  </r>
  <r>
    <s v="ORD10631"/>
    <x v="298"/>
    <x v="3"/>
    <x v="2"/>
    <x v="2"/>
    <x v="1"/>
    <x v="0"/>
    <n v="27105"/>
    <n v="0"/>
    <x v="0"/>
    <x v="2"/>
    <s v="Standard"/>
    <x v="2"/>
    <n v="243945"/>
  </r>
  <r>
    <s v="ORD10632"/>
    <x v="42"/>
    <x v="4"/>
    <x v="0"/>
    <x v="0"/>
    <x v="4"/>
    <x v="3"/>
    <n v="7267"/>
    <n v="10173.800000000001"/>
    <x v="0"/>
    <x v="1"/>
    <s v="Same Day"/>
    <x v="0"/>
    <n v="40695.199999999997"/>
  </r>
  <r>
    <s v="ORD10633"/>
    <x v="299"/>
    <x v="4"/>
    <x v="2"/>
    <x v="1"/>
    <x v="3"/>
    <x v="3"/>
    <n v="32759"/>
    <n v="11465.650000000001"/>
    <x v="2"/>
    <x v="2"/>
    <s v="Standard"/>
    <x v="2"/>
    <n v="217847.34999999899"/>
  </r>
  <r>
    <s v="ORD10634"/>
    <x v="67"/>
    <x v="0"/>
    <x v="0"/>
    <x v="2"/>
    <x v="2"/>
    <x v="7"/>
    <n v="43119"/>
    <n v="0"/>
    <x v="1"/>
    <x v="0"/>
    <s v="Standard"/>
    <x v="0"/>
    <n v="86238"/>
  </r>
  <r>
    <s v="ORD10635"/>
    <x v="49"/>
    <x v="0"/>
    <x v="2"/>
    <x v="2"/>
    <x v="1"/>
    <x v="0"/>
    <n v="18185"/>
    <n v="24549.75"/>
    <x v="1"/>
    <x v="2"/>
    <s v="Standard"/>
    <x v="1"/>
    <n v="139115.25"/>
  </r>
  <r>
    <s v="ORD10636"/>
    <x v="283"/>
    <x v="4"/>
    <x v="1"/>
    <x v="1"/>
    <x v="0"/>
    <x v="0"/>
    <n v="27569"/>
    <n v="37218.15"/>
    <x v="3"/>
    <x v="2"/>
    <s v="Standard"/>
    <x v="1"/>
    <n v="210902.85"/>
  </r>
  <r>
    <s v="ORD10637"/>
    <x v="173"/>
    <x v="3"/>
    <x v="0"/>
    <x v="0"/>
    <x v="3"/>
    <x v="5"/>
    <n v="18064"/>
    <n v="5419.2000000000007"/>
    <x v="1"/>
    <x v="2"/>
    <s v="Same Day"/>
    <x v="1"/>
    <n v="102964.799999999"/>
  </r>
  <r>
    <s v="ORD10638"/>
    <x v="156"/>
    <x v="4"/>
    <x v="2"/>
    <x v="1"/>
    <x v="2"/>
    <x v="6"/>
    <n v="22814"/>
    <n v="13688.400000000001"/>
    <x v="2"/>
    <x v="2"/>
    <s v="Standard"/>
    <x v="2"/>
    <n v="54753.599999999999"/>
  </r>
  <r>
    <s v="ORD10639"/>
    <x v="226"/>
    <x v="3"/>
    <x v="2"/>
    <x v="1"/>
    <x v="4"/>
    <x v="4"/>
    <n v="48094"/>
    <n v="7214.0999999999995"/>
    <x v="0"/>
    <x v="2"/>
    <s v="Express"/>
    <x v="0"/>
    <n v="40879.9"/>
  </r>
  <r>
    <s v="ORD10640"/>
    <x v="294"/>
    <x v="0"/>
    <x v="2"/>
    <x v="2"/>
    <x v="2"/>
    <x v="1"/>
    <n v="15813"/>
    <n v="9487.7999999999993"/>
    <x v="3"/>
    <x v="1"/>
    <s v="Express"/>
    <x v="2"/>
    <n v="53764.2"/>
  </r>
  <r>
    <s v="ORD10641"/>
    <x v="47"/>
    <x v="1"/>
    <x v="0"/>
    <x v="1"/>
    <x v="3"/>
    <x v="6"/>
    <n v="6647"/>
    <n v="3988.2000000000003"/>
    <x v="3"/>
    <x v="0"/>
    <s v="Express"/>
    <x v="0"/>
    <n v="15952.8"/>
  </r>
  <r>
    <s v="ORD10642"/>
    <x v="153"/>
    <x v="0"/>
    <x v="0"/>
    <x v="1"/>
    <x v="3"/>
    <x v="4"/>
    <n v="5699"/>
    <n v="0"/>
    <x v="1"/>
    <x v="1"/>
    <s v="Same Day"/>
    <x v="1"/>
    <n v="5699"/>
  </r>
  <r>
    <s v="ORD10643"/>
    <x v="156"/>
    <x v="0"/>
    <x v="0"/>
    <x v="2"/>
    <x v="2"/>
    <x v="6"/>
    <n v="39241"/>
    <n v="17658.45"/>
    <x v="3"/>
    <x v="0"/>
    <s v="Standard"/>
    <x v="2"/>
    <n v="100064.55"/>
  </r>
  <r>
    <s v="ORD10644"/>
    <x v="212"/>
    <x v="2"/>
    <x v="1"/>
    <x v="2"/>
    <x v="4"/>
    <x v="1"/>
    <n v="31515"/>
    <n v="12606"/>
    <x v="0"/>
    <x v="0"/>
    <s v="Same Day"/>
    <x v="1"/>
    <n v="113454"/>
  </r>
  <r>
    <s v="ORD10645"/>
    <x v="169"/>
    <x v="2"/>
    <x v="1"/>
    <x v="2"/>
    <x v="2"/>
    <x v="8"/>
    <n v="1499"/>
    <n v="1798.8"/>
    <x v="3"/>
    <x v="0"/>
    <s v="Standard"/>
    <x v="2"/>
    <n v="10193.199999999901"/>
  </r>
  <r>
    <s v="ORD10646"/>
    <x v="199"/>
    <x v="2"/>
    <x v="0"/>
    <x v="2"/>
    <x v="3"/>
    <x v="0"/>
    <n v="39669"/>
    <n v="0"/>
    <x v="0"/>
    <x v="0"/>
    <s v="Same Day"/>
    <x v="1"/>
    <n v="357021"/>
  </r>
  <r>
    <s v="ORD10647"/>
    <x v="281"/>
    <x v="2"/>
    <x v="2"/>
    <x v="1"/>
    <x v="3"/>
    <x v="6"/>
    <n v="5194"/>
    <n v="0"/>
    <x v="2"/>
    <x v="0"/>
    <s v="Same Day"/>
    <x v="2"/>
    <n v="15582"/>
  </r>
  <r>
    <s v="ORD10648"/>
    <x v="247"/>
    <x v="3"/>
    <x v="1"/>
    <x v="1"/>
    <x v="0"/>
    <x v="5"/>
    <n v="30078"/>
    <n v="9023.4"/>
    <x v="2"/>
    <x v="2"/>
    <s v="Standard"/>
    <x v="2"/>
    <n v="171444.6"/>
  </r>
  <r>
    <s v="ORD10649"/>
    <x v="137"/>
    <x v="4"/>
    <x v="0"/>
    <x v="0"/>
    <x v="0"/>
    <x v="2"/>
    <n v="15827"/>
    <n v="7913.5"/>
    <x v="0"/>
    <x v="1"/>
    <s v="Same Day"/>
    <x v="0"/>
    <n v="71221.5"/>
  </r>
  <r>
    <s v="ORD10650"/>
    <x v="32"/>
    <x v="1"/>
    <x v="2"/>
    <x v="0"/>
    <x v="1"/>
    <x v="5"/>
    <n v="7689"/>
    <n v="0"/>
    <x v="1"/>
    <x v="1"/>
    <s v="Standard"/>
    <x v="1"/>
    <n v="46134"/>
  </r>
  <r>
    <s v="ORD10651"/>
    <x v="63"/>
    <x v="0"/>
    <x v="1"/>
    <x v="1"/>
    <x v="3"/>
    <x v="1"/>
    <n v="26311"/>
    <n v="21048.800000000003"/>
    <x v="3"/>
    <x v="2"/>
    <s v="Express"/>
    <x v="0"/>
    <n v="84195.199999999997"/>
  </r>
  <r>
    <s v="ORD10652"/>
    <x v="300"/>
    <x v="3"/>
    <x v="2"/>
    <x v="0"/>
    <x v="0"/>
    <x v="5"/>
    <n v="32555"/>
    <n v="19533"/>
    <x v="1"/>
    <x v="0"/>
    <s v="Express"/>
    <x v="0"/>
    <n v="175797"/>
  </r>
  <r>
    <s v="ORD10653"/>
    <x v="245"/>
    <x v="1"/>
    <x v="2"/>
    <x v="1"/>
    <x v="2"/>
    <x v="3"/>
    <n v="8469"/>
    <n v="5928.3"/>
    <x v="3"/>
    <x v="1"/>
    <s v="Express"/>
    <x v="1"/>
    <n v="53354.7"/>
  </r>
  <r>
    <s v="ORD10654"/>
    <x v="133"/>
    <x v="3"/>
    <x v="2"/>
    <x v="0"/>
    <x v="4"/>
    <x v="0"/>
    <n v="3031"/>
    <n v="5455.8"/>
    <x v="2"/>
    <x v="2"/>
    <s v="Same Day"/>
    <x v="2"/>
    <n v="21823.200000000001"/>
  </r>
  <r>
    <s v="ORD10655"/>
    <x v="212"/>
    <x v="3"/>
    <x v="2"/>
    <x v="2"/>
    <x v="2"/>
    <x v="3"/>
    <n v="44570"/>
    <n v="46798.5"/>
    <x v="2"/>
    <x v="2"/>
    <s v="Express"/>
    <x v="0"/>
    <n v="265191.5"/>
  </r>
  <r>
    <s v="ORD10656"/>
    <x v="65"/>
    <x v="0"/>
    <x v="1"/>
    <x v="0"/>
    <x v="4"/>
    <x v="5"/>
    <n v="12019"/>
    <n v="14422.800000000001"/>
    <x v="2"/>
    <x v="1"/>
    <s v="Standard"/>
    <x v="1"/>
    <n v="57691.199999999997"/>
  </r>
  <r>
    <s v="ORD10657"/>
    <x v="226"/>
    <x v="4"/>
    <x v="1"/>
    <x v="2"/>
    <x v="0"/>
    <x v="4"/>
    <n v="25013"/>
    <n v="5002.6000000000004"/>
    <x v="3"/>
    <x v="1"/>
    <s v="Express"/>
    <x v="2"/>
    <n v="20010.400000000001"/>
  </r>
  <r>
    <s v="ORD10658"/>
    <x v="126"/>
    <x v="2"/>
    <x v="1"/>
    <x v="2"/>
    <x v="1"/>
    <x v="7"/>
    <n v="21837"/>
    <n v="6551.0999999999995"/>
    <x v="2"/>
    <x v="0"/>
    <s v="Express"/>
    <x v="0"/>
    <n v="37122.9"/>
  </r>
  <r>
    <s v="ORD10659"/>
    <x v="226"/>
    <x v="4"/>
    <x v="0"/>
    <x v="2"/>
    <x v="2"/>
    <x v="4"/>
    <n v="2196"/>
    <n v="329.4"/>
    <x v="2"/>
    <x v="0"/>
    <s v="Same Day"/>
    <x v="0"/>
    <n v="1866.6"/>
  </r>
  <r>
    <s v="ORD10660"/>
    <x v="199"/>
    <x v="0"/>
    <x v="1"/>
    <x v="2"/>
    <x v="2"/>
    <x v="0"/>
    <n v="44587"/>
    <n v="60192.45"/>
    <x v="2"/>
    <x v="1"/>
    <s v="Standard"/>
    <x v="0"/>
    <n v="341090.55"/>
  </r>
  <r>
    <s v="ORD10661"/>
    <x v="301"/>
    <x v="0"/>
    <x v="2"/>
    <x v="0"/>
    <x v="2"/>
    <x v="0"/>
    <n v="49629"/>
    <n v="66999.149999999994"/>
    <x v="2"/>
    <x v="0"/>
    <s v="Same Day"/>
    <x v="2"/>
    <n v="379661.85"/>
  </r>
  <r>
    <s v="ORD10662"/>
    <x v="302"/>
    <x v="0"/>
    <x v="1"/>
    <x v="1"/>
    <x v="4"/>
    <x v="3"/>
    <n v="3289"/>
    <n v="3453.45"/>
    <x v="1"/>
    <x v="2"/>
    <s v="Same Day"/>
    <x v="0"/>
    <n v="19569.55"/>
  </r>
  <r>
    <s v="ORD10663"/>
    <x v="303"/>
    <x v="1"/>
    <x v="2"/>
    <x v="2"/>
    <x v="0"/>
    <x v="7"/>
    <n v="33491"/>
    <n v="13396.400000000001"/>
    <x v="2"/>
    <x v="0"/>
    <s v="Standard"/>
    <x v="2"/>
    <n v="53585.599999999999"/>
  </r>
  <r>
    <s v="ORD10664"/>
    <x v="73"/>
    <x v="4"/>
    <x v="0"/>
    <x v="0"/>
    <x v="2"/>
    <x v="5"/>
    <n v="20859"/>
    <n v="6257.7000000000007"/>
    <x v="2"/>
    <x v="0"/>
    <s v="Same Day"/>
    <x v="0"/>
    <n v="118896.299999999"/>
  </r>
  <r>
    <s v="ORD10665"/>
    <x v="159"/>
    <x v="4"/>
    <x v="2"/>
    <x v="2"/>
    <x v="2"/>
    <x v="1"/>
    <n v="45378"/>
    <n v="9075.6"/>
    <x v="1"/>
    <x v="2"/>
    <s v="Standard"/>
    <x v="1"/>
    <n v="172436.4"/>
  </r>
  <r>
    <s v="ORD10666"/>
    <x v="71"/>
    <x v="3"/>
    <x v="2"/>
    <x v="0"/>
    <x v="1"/>
    <x v="4"/>
    <n v="30629"/>
    <n v="0"/>
    <x v="1"/>
    <x v="0"/>
    <s v="Express"/>
    <x v="0"/>
    <n v="30629"/>
  </r>
  <r>
    <s v="ORD10667"/>
    <x v="244"/>
    <x v="3"/>
    <x v="2"/>
    <x v="0"/>
    <x v="1"/>
    <x v="4"/>
    <n v="15932"/>
    <n v="796.6"/>
    <x v="3"/>
    <x v="2"/>
    <s v="Standard"/>
    <x v="1"/>
    <n v="15135.4"/>
  </r>
  <r>
    <s v="ORD10668"/>
    <x v="278"/>
    <x v="3"/>
    <x v="0"/>
    <x v="0"/>
    <x v="0"/>
    <x v="2"/>
    <n v="19706"/>
    <n v="4926.5"/>
    <x v="0"/>
    <x v="0"/>
    <s v="Standard"/>
    <x v="1"/>
    <n v="93603.5"/>
  </r>
  <r>
    <s v="ORD10669"/>
    <x v="106"/>
    <x v="0"/>
    <x v="1"/>
    <x v="1"/>
    <x v="0"/>
    <x v="7"/>
    <n v="41135"/>
    <n v="16454"/>
    <x v="2"/>
    <x v="1"/>
    <s v="Standard"/>
    <x v="1"/>
    <n v="65816"/>
  </r>
  <r>
    <s v="ORD10670"/>
    <x v="170"/>
    <x v="4"/>
    <x v="1"/>
    <x v="0"/>
    <x v="3"/>
    <x v="1"/>
    <n v="5390"/>
    <n v="3234"/>
    <x v="2"/>
    <x v="0"/>
    <s v="Same Day"/>
    <x v="2"/>
    <n v="18326"/>
  </r>
  <r>
    <s v="ORD10671"/>
    <x v="227"/>
    <x v="0"/>
    <x v="0"/>
    <x v="0"/>
    <x v="1"/>
    <x v="4"/>
    <n v="4775"/>
    <n v="716.25"/>
    <x v="2"/>
    <x v="1"/>
    <s v="Standard"/>
    <x v="1"/>
    <n v="4058.75"/>
  </r>
  <r>
    <s v="ORD10672"/>
    <x v="238"/>
    <x v="1"/>
    <x v="2"/>
    <x v="1"/>
    <x v="3"/>
    <x v="1"/>
    <n v="40695"/>
    <n v="32556"/>
    <x v="3"/>
    <x v="1"/>
    <s v="Standard"/>
    <x v="0"/>
    <n v="130224"/>
  </r>
  <r>
    <s v="ORD10673"/>
    <x v="141"/>
    <x v="3"/>
    <x v="1"/>
    <x v="1"/>
    <x v="4"/>
    <x v="5"/>
    <n v="48346"/>
    <n v="14503.800000000001"/>
    <x v="2"/>
    <x v="1"/>
    <s v="Standard"/>
    <x v="2"/>
    <n v="275572.2"/>
  </r>
  <r>
    <s v="ORD10674"/>
    <x v="234"/>
    <x v="0"/>
    <x v="0"/>
    <x v="0"/>
    <x v="3"/>
    <x v="1"/>
    <n v="34765"/>
    <n v="27812"/>
    <x v="0"/>
    <x v="1"/>
    <s v="Express"/>
    <x v="1"/>
    <n v="111248"/>
  </r>
  <r>
    <s v="ORD10675"/>
    <x v="46"/>
    <x v="0"/>
    <x v="1"/>
    <x v="1"/>
    <x v="2"/>
    <x v="4"/>
    <n v="35099"/>
    <n v="0"/>
    <x v="1"/>
    <x v="1"/>
    <s v="Standard"/>
    <x v="2"/>
    <n v="35099"/>
  </r>
  <r>
    <s v="ORD10676"/>
    <x v="121"/>
    <x v="1"/>
    <x v="0"/>
    <x v="2"/>
    <x v="3"/>
    <x v="3"/>
    <n v="23906"/>
    <n v="25101.3"/>
    <x v="3"/>
    <x v="2"/>
    <s v="Same Day"/>
    <x v="2"/>
    <n v="142240.69999999899"/>
  </r>
  <r>
    <s v="ORD10677"/>
    <x v="247"/>
    <x v="2"/>
    <x v="2"/>
    <x v="2"/>
    <x v="0"/>
    <x v="7"/>
    <n v="47868"/>
    <n v="9573.6"/>
    <x v="1"/>
    <x v="2"/>
    <s v="Standard"/>
    <x v="2"/>
    <n v="86162.4"/>
  </r>
  <r>
    <s v="ORD10678"/>
    <x v="59"/>
    <x v="4"/>
    <x v="1"/>
    <x v="1"/>
    <x v="4"/>
    <x v="0"/>
    <n v="23084"/>
    <n v="0"/>
    <x v="2"/>
    <x v="2"/>
    <s v="Standard"/>
    <x v="0"/>
    <n v="207756"/>
  </r>
  <r>
    <s v="ORD10679"/>
    <x v="142"/>
    <x v="2"/>
    <x v="0"/>
    <x v="1"/>
    <x v="2"/>
    <x v="6"/>
    <n v="17399"/>
    <n v="0"/>
    <x v="2"/>
    <x v="1"/>
    <s v="Express"/>
    <x v="1"/>
    <n v="52197"/>
  </r>
  <r>
    <s v="ORD10680"/>
    <x v="165"/>
    <x v="3"/>
    <x v="1"/>
    <x v="0"/>
    <x v="3"/>
    <x v="8"/>
    <n v="44300"/>
    <n v="70880"/>
    <x v="2"/>
    <x v="0"/>
    <s v="Standard"/>
    <x v="2"/>
    <n v="283520"/>
  </r>
  <r>
    <s v="ORD10681"/>
    <x v="271"/>
    <x v="0"/>
    <x v="1"/>
    <x v="1"/>
    <x v="4"/>
    <x v="8"/>
    <n v="39634"/>
    <n v="15853.6"/>
    <x v="0"/>
    <x v="2"/>
    <s v="Same Day"/>
    <x v="2"/>
    <n v="301218.39999999898"/>
  </r>
  <r>
    <s v="ORD10682"/>
    <x v="269"/>
    <x v="1"/>
    <x v="1"/>
    <x v="0"/>
    <x v="4"/>
    <x v="6"/>
    <n v="49494"/>
    <n v="22272.3"/>
    <x v="0"/>
    <x v="0"/>
    <s v="Standard"/>
    <x v="2"/>
    <n v="126209.7"/>
  </r>
  <r>
    <s v="ORD10683"/>
    <x v="155"/>
    <x v="1"/>
    <x v="1"/>
    <x v="2"/>
    <x v="2"/>
    <x v="1"/>
    <n v="12679"/>
    <n v="5071.6000000000004"/>
    <x v="3"/>
    <x v="0"/>
    <s v="Same Day"/>
    <x v="1"/>
    <n v="45644.4"/>
  </r>
  <r>
    <s v="ORD10684"/>
    <x v="251"/>
    <x v="4"/>
    <x v="0"/>
    <x v="1"/>
    <x v="3"/>
    <x v="7"/>
    <n v="34378"/>
    <n v="0"/>
    <x v="1"/>
    <x v="1"/>
    <s v="Express"/>
    <x v="2"/>
    <n v="68756"/>
  </r>
  <r>
    <s v="ORD10685"/>
    <x v="304"/>
    <x v="2"/>
    <x v="2"/>
    <x v="0"/>
    <x v="4"/>
    <x v="1"/>
    <n v="12865"/>
    <n v="5146"/>
    <x v="2"/>
    <x v="1"/>
    <s v="Standard"/>
    <x v="2"/>
    <n v="46314"/>
  </r>
  <r>
    <s v="ORD10686"/>
    <x v="305"/>
    <x v="4"/>
    <x v="0"/>
    <x v="0"/>
    <x v="4"/>
    <x v="0"/>
    <n v="734"/>
    <n v="330.3"/>
    <x v="2"/>
    <x v="1"/>
    <s v="Express"/>
    <x v="0"/>
    <n v="6275.7"/>
  </r>
  <r>
    <s v="ORD10687"/>
    <x v="306"/>
    <x v="0"/>
    <x v="0"/>
    <x v="2"/>
    <x v="1"/>
    <x v="7"/>
    <n v="26492"/>
    <n v="2649.2000000000003"/>
    <x v="2"/>
    <x v="2"/>
    <s v="Standard"/>
    <x v="1"/>
    <n v="50334.799999999901"/>
  </r>
  <r>
    <s v="ORD10688"/>
    <x v="7"/>
    <x v="4"/>
    <x v="0"/>
    <x v="1"/>
    <x v="4"/>
    <x v="6"/>
    <n v="36332"/>
    <n v="10899.6"/>
    <x v="2"/>
    <x v="1"/>
    <s v="Same Day"/>
    <x v="0"/>
    <n v="98096.4"/>
  </r>
  <r>
    <s v="ORD10689"/>
    <x v="137"/>
    <x v="1"/>
    <x v="2"/>
    <x v="2"/>
    <x v="1"/>
    <x v="1"/>
    <n v="36310"/>
    <n v="21786"/>
    <x v="0"/>
    <x v="2"/>
    <s v="Express"/>
    <x v="1"/>
    <n v="123454"/>
  </r>
  <r>
    <s v="ORD10690"/>
    <x v="278"/>
    <x v="1"/>
    <x v="1"/>
    <x v="0"/>
    <x v="3"/>
    <x v="2"/>
    <n v="22669"/>
    <n v="5667.25"/>
    <x v="1"/>
    <x v="2"/>
    <s v="Standard"/>
    <x v="1"/>
    <n v="107677.75"/>
  </r>
  <r>
    <s v="ORD10691"/>
    <x v="273"/>
    <x v="3"/>
    <x v="1"/>
    <x v="0"/>
    <x v="3"/>
    <x v="4"/>
    <n v="46433"/>
    <n v="4643.3"/>
    <x v="1"/>
    <x v="2"/>
    <s v="Same Day"/>
    <x v="1"/>
    <n v="41789.699999999997"/>
  </r>
  <r>
    <s v="ORD10692"/>
    <x v="87"/>
    <x v="3"/>
    <x v="1"/>
    <x v="1"/>
    <x v="3"/>
    <x v="3"/>
    <n v="37468"/>
    <n v="0"/>
    <x v="3"/>
    <x v="2"/>
    <s v="Express"/>
    <x v="0"/>
    <n v="262276"/>
  </r>
  <r>
    <s v="ORD10693"/>
    <x v="232"/>
    <x v="0"/>
    <x v="2"/>
    <x v="0"/>
    <x v="0"/>
    <x v="3"/>
    <n v="1372"/>
    <n v="960.40000000000009"/>
    <x v="0"/>
    <x v="1"/>
    <s v="Standard"/>
    <x v="0"/>
    <n v="8643.6"/>
  </r>
  <r>
    <s v="ORD10694"/>
    <x v="45"/>
    <x v="2"/>
    <x v="1"/>
    <x v="1"/>
    <x v="3"/>
    <x v="0"/>
    <n v="28114"/>
    <n v="25302.600000000002"/>
    <x v="2"/>
    <x v="2"/>
    <s v="Express"/>
    <x v="0"/>
    <n v="227723.4"/>
  </r>
  <r>
    <s v="ORD10695"/>
    <x v="267"/>
    <x v="4"/>
    <x v="2"/>
    <x v="2"/>
    <x v="4"/>
    <x v="1"/>
    <n v="21101"/>
    <n v="16880.8"/>
    <x v="1"/>
    <x v="1"/>
    <s v="Standard"/>
    <x v="0"/>
    <n v="67523.199999999997"/>
  </r>
  <r>
    <s v="ORD10696"/>
    <x v="94"/>
    <x v="0"/>
    <x v="1"/>
    <x v="1"/>
    <x v="2"/>
    <x v="5"/>
    <n v="40975"/>
    <n v="12292.5"/>
    <x v="1"/>
    <x v="1"/>
    <s v="Same Day"/>
    <x v="2"/>
    <n v="233557.5"/>
  </r>
  <r>
    <s v="ORD10697"/>
    <x v="153"/>
    <x v="3"/>
    <x v="1"/>
    <x v="1"/>
    <x v="1"/>
    <x v="7"/>
    <n v="34609"/>
    <n v="10382.699999999999"/>
    <x v="0"/>
    <x v="2"/>
    <s v="Same Day"/>
    <x v="2"/>
    <n v="58835.299999999901"/>
  </r>
  <r>
    <s v="ORD10698"/>
    <x v="261"/>
    <x v="4"/>
    <x v="0"/>
    <x v="0"/>
    <x v="0"/>
    <x v="1"/>
    <n v="49823"/>
    <n v="29893.8"/>
    <x v="3"/>
    <x v="1"/>
    <s v="Express"/>
    <x v="2"/>
    <n v="169398.19999999899"/>
  </r>
  <r>
    <s v="ORD10699"/>
    <x v="79"/>
    <x v="3"/>
    <x v="2"/>
    <x v="0"/>
    <x v="3"/>
    <x v="7"/>
    <n v="19524"/>
    <n v="7809.6"/>
    <x v="3"/>
    <x v="0"/>
    <s v="Express"/>
    <x v="1"/>
    <n v="31238.400000000001"/>
  </r>
  <r>
    <s v="ORD10700"/>
    <x v="307"/>
    <x v="4"/>
    <x v="0"/>
    <x v="1"/>
    <x v="3"/>
    <x v="2"/>
    <n v="8938"/>
    <n v="6703.5"/>
    <x v="2"/>
    <x v="1"/>
    <s v="Standard"/>
    <x v="2"/>
    <n v="37986.5"/>
  </r>
  <r>
    <s v="ORD10701"/>
    <x v="20"/>
    <x v="2"/>
    <x v="0"/>
    <x v="0"/>
    <x v="2"/>
    <x v="3"/>
    <n v="37694"/>
    <n v="26385.800000000003"/>
    <x v="3"/>
    <x v="1"/>
    <s v="Same Day"/>
    <x v="1"/>
    <n v="237472.2"/>
  </r>
  <r>
    <s v="ORD10702"/>
    <x v="241"/>
    <x v="0"/>
    <x v="0"/>
    <x v="0"/>
    <x v="2"/>
    <x v="4"/>
    <n v="44757"/>
    <n v="8951.4"/>
    <x v="1"/>
    <x v="2"/>
    <s v="Standard"/>
    <x v="0"/>
    <n v="35805.599999999999"/>
  </r>
  <r>
    <s v="ORD10703"/>
    <x v="95"/>
    <x v="4"/>
    <x v="2"/>
    <x v="0"/>
    <x v="0"/>
    <x v="3"/>
    <n v="24254"/>
    <n v="0"/>
    <x v="3"/>
    <x v="2"/>
    <s v="Same Day"/>
    <x v="1"/>
    <n v="169778"/>
  </r>
  <r>
    <s v="ORD10704"/>
    <x v="308"/>
    <x v="1"/>
    <x v="2"/>
    <x v="1"/>
    <x v="1"/>
    <x v="5"/>
    <n v="29909"/>
    <n v="8972.7000000000007"/>
    <x v="2"/>
    <x v="1"/>
    <s v="Express"/>
    <x v="1"/>
    <n v="170481.3"/>
  </r>
  <r>
    <s v="ORD10705"/>
    <x v="153"/>
    <x v="1"/>
    <x v="1"/>
    <x v="0"/>
    <x v="3"/>
    <x v="5"/>
    <n v="43985"/>
    <n v="13195.5"/>
    <x v="1"/>
    <x v="2"/>
    <s v="Standard"/>
    <x v="2"/>
    <n v="250714.5"/>
  </r>
  <r>
    <s v="ORD10706"/>
    <x v="164"/>
    <x v="4"/>
    <x v="0"/>
    <x v="1"/>
    <x v="0"/>
    <x v="8"/>
    <n v="20307"/>
    <n v="8122.8"/>
    <x v="3"/>
    <x v="0"/>
    <s v="Standard"/>
    <x v="0"/>
    <n v="154333.19999999899"/>
  </r>
  <r>
    <s v="ORD10707"/>
    <x v="202"/>
    <x v="4"/>
    <x v="1"/>
    <x v="0"/>
    <x v="4"/>
    <x v="8"/>
    <n v="563"/>
    <n v="450.40000000000003"/>
    <x v="3"/>
    <x v="0"/>
    <s v="Same Day"/>
    <x v="0"/>
    <n v="4053.6"/>
  </r>
  <r>
    <s v="ORD10708"/>
    <x v="54"/>
    <x v="4"/>
    <x v="0"/>
    <x v="2"/>
    <x v="4"/>
    <x v="5"/>
    <n v="10558"/>
    <n v="0"/>
    <x v="0"/>
    <x v="2"/>
    <s v="Same Day"/>
    <x v="2"/>
    <n v="63348"/>
  </r>
  <r>
    <s v="ORD10709"/>
    <x v="25"/>
    <x v="1"/>
    <x v="2"/>
    <x v="0"/>
    <x v="0"/>
    <x v="6"/>
    <n v="36277"/>
    <n v="21766.2"/>
    <x v="2"/>
    <x v="1"/>
    <s v="Same Day"/>
    <x v="0"/>
    <n v="87064.8"/>
  </r>
  <r>
    <s v="ORD10710"/>
    <x v="309"/>
    <x v="1"/>
    <x v="2"/>
    <x v="0"/>
    <x v="3"/>
    <x v="2"/>
    <n v="49897"/>
    <n v="49897"/>
    <x v="3"/>
    <x v="0"/>
    <s v="Express"/>
    <x v="0"/>
    <n v="199588"/>
  </r>
  <r>
    <s v="ORD10711"/>
    <x v="207"/>
    <x v="4"/>
    <x v="2"/>
    <x v="1"/>
    <x v="0"/>
    <x v="7"/>
    <n v="3440"/>
    <n v="344"/>
    <x v="0"/>
    <x v="0"/>
    <s v="Standard"/>
    <x v="0"/>
    <n v="6536"/>
  </r>
  <r>
    <s v="ORD10712"/>
    <x v="310"/>
    <x v="3"/>
    <x v="0"/>
    <x v="1"/>
    <x v="3"/>
    <x v="2"/>
    <n v="6865"/>
    <n v="0"/>
    <x v="1"/>
    <x v="1"/>
    <s v="Same Day"/>
    <x v="2"/>
    <n v="34325"/>
  </r>
  <r>
    <s v="ORD10713"/>
    <x v="301"/>
    <x v="3"/>
    <x v="2"/>
    <x v="0"/>
    <x v="2"/>
    <x v="0"/>
    <n v="45889"/>
    <n v="0"/>
    <x v="0"/>
    <x v="2"/>
    <s v="Express"/>
    <x v="0"/>
    <n v="413001"/>
  </r>
  <r>
    <s v="ORD10714"/>
    <x v="264"/>
    <x v="2"/>
    <x v="0"/>
    <x v="2"/>
    <x v="0"/>
    <x v="4"/>
    <n v="2136"/>
    <n v="0"/>
    <x v="0"/>
    <x v="0"/>
    <s v="Same Day"/>
    <x v="1"/>
    <n v="2136"/>
  </r>
  <r>
    <s v="ORD10715"/>
    <x v="300"/>
    <x v="0"/>
    <x v="1"/>
    <x v="0"/>
    <x v="3"/>
    <x v="2"/>
    <n v="46936"/>
    <n v="35202"/>
    <x v="3"/>
    <x v="1"/>
    <s v="Standard"/>
    <x v="1"/>
    <n v="199478"/>
  </r>
  <r>
    <s v="ORD10716"/>
    <x v="135"/>
    <x v="3"/>
    <x v="0"/>
    <x v="0"/>
    <x v="0"/>
    <x v="5"/>
    <n v="25738"/>
    <n v="23164.2"/>
    <x v="3"/>
    <x v="1"/>
    <s v="Same Day"/>
    <x v="0"/>
    <n v="131263.79999999999"/>
  </r>
  <r>
    <s v="ORD10717"/>
    <x v="47"/>
    <x v="1"/>
    <x v="1"/>
    <x v="2"/>
    <x v="0"/>
    <x v="3"/>
    <n v="44165"/>
    <n v="15457.75"/>
    <x v="3"/>
    <x v="0"/>
    <s v="Standard"/>
    <x v="2"/>
    <n v="293697.25"/>
  </r>
  <r>
    <s v="ORD10718"/>
    <x v="311"/>
    <x v="3"/>
    <x v="0"/>
    <x v="1"/>
    <x v="3"/>
    <x v="0"/>
    <n v="12198"/>
    <n v="0"/>
    <x v="0"/>
    <x v="2"/>
    <s v="Express"/>
    <x v="2"/>
    <n v="109782"/>
  </r>
  <r>
    <s v="ORD10719"/>
    <x v="196"/>
    <x v="2"/>
    <x v="1"/>
    <x v="0"/>
    <x v="3"/>
    <x v="5"/>
    <n v="1082"/>
    <n v="0"/>
    <x v="1"/>
    <x v="0"/>
    <s v="Express"/>
    <x v="2"/>
    <n v="6492"/>
  </r>
  <r>
    <s v="ORD10720"/>
    <x v="109"/>
    <x v="2"/>
    <x v="2"/>
    <x v="1"/>
    <x v="1"/>
    <x v="2"/>
    <n v="20424"/>
    <n v="20424"/>
    <x v="2"/>
    <x v="1"/>
    <s v="Same Day"/>
    <x v="0"/>
    <n v="81696"/>
  </r>
  <r>
    <s v="ORD10721"/>
    <x v="312"/>
    <x v="0"/>
    <x v="1"/>
    <x v="1"/>
    <x v="0"/>
    <x v="3"/>
    <n v="39891"/>
    <n v="55847.4"/>
    <x v="0"/>
    <x v="0"/>
    <s v="Standard"/>
    <x v="0"/>
    <n v="223389.6"/>
  </r>
  <r>
    <s v="ORD10722"/>
    <x v="91"/>
    <x v="3"/>
    <x v="2"/>
    <x v="2"/>
    <x v="4"/>
    <x v="4"/>
    <n v="46676"/>
    <n v="2333.8000000000002"/>
    <x v="3"/>
    <x v="2"/>
    <s v="Standard"/>
    <x v="1"/>
    <n v="44342.2"/>
  </r>
  <r>
    <s v="ORD10723"/>
    <x v="83"/>
    <x v="1"/>
    <x v="2"/>
    <x v="2"/>
    <x v="0"/>
    <x v="2"/>
    <n v="31025"/>
    <n v="0"/>
    <x v="2"/>
    <x v="1"/>
    <s v="Standard"/>
    <x v="2"/>
    <n v="155125"/>
  </r>
  <r>
    <s v="ORD10724"/>
    <x v="291"/>
    <x v="1"/>
    <x v="1"/>
    <x v="1"/>
    <x v="0"/>
    <x v="7"/>
    <n v="5404"/>
    <n v="540.4"/>
    <x v="1"/>
    <x v="2"/>
    <s v="Same Day"/>
    <x v="1"/>
    <n v="10267.6"/>
  </r>
  <r>
    <s v="ORD10725"/>
    <x v="155"/>
    <x v="4"/>
    <x v="0"/>
    <x v="0"/>
    <x v="3"/>
    <x v="1"/>
    <n v="29085"/>
    <n v="23268"/>
    <x v="2"/>
    <x v="0"/>
    <s v="Standard"/>
    <x v="1"/>
    <n v="93072"/>
  </r>
  <r>
    <s v="ORD10726"/>
    <x v="248"/>
    <x v="1"/>
    <x v="0"/>
    <x v="1"/>
    <x v="0"/>
    <x v="3"/>
    <n v="40256"/>
    <n v="56358.400000000001"/>
    <x v="3"/>
    <x v="0"/>
    <s v="Standard"/>
    <x v="2"/>
    <n v="225433.60000000001"/>
  </r>
  <r>
    <s v="ORD10727"/>
    <x v="279"/>
    <x v="0"/>
    <x v="0"/>
    <x v="0"/>
    <x v="0"/>
    <x v="2"/>
    <n v="3403"/>
    <n v="2552.25"/>
    <x v="0"/>
    <x v="2"/>
    <s v="Standard"/>
    <x v="0"/>
    <n v="14462.75"/>
  </r>
  <r>
    <s v="ORD10728"/>
    <x v="174"/>
    <x v="0"/>
    <x v="0"/>
    <x v="0"/>
    <x v="4"/>
    <x v="5"/>
    <n v="2444"/>
    <n v="733.2"/>
    <x v="0"/>
    <x v="0"/>
    <s v="Standard"/>
    <x v="0"/>
    <n v="13930.8"/>
  </r>
  <r>
    <s v="ORD10729"/>
    <x v="260"/>
    <x v="1"/>
    <x v="0"/>
    <x v="2"/>
    <x v="3"/>
    <x v="7"/>
    <n v="32986"/>
    <n v="3298.6000000000004"/>
    <x v="3"/>
    <x v="2"/>
    <s v="Same Day"/>
    <x v="1"/>
    <n v="62673.3999999999"/>
  </r>
  <r>
    <s v="ORD10730"/>
    <x v="313"/>
    <x v="1"/>
    <x v="2"/>
    <x v="0"/>
    <x v="0"/>
    <x v="6"/>
    <n v="49993"/>
    <n v="0"/>
    <x v="0"/>
    <x v="0"/>
    <s v="Same Day"/>
    <x v="1"/>
    <n v="149979"/>
  </r>
  <r>
    <s v="ORD10731"/>
    <x v="88"/>
    <x v="4"/>
    <x v="0"/>
    <x v="0"/>
    <x v="2"/>
    <x v="3"/>
    <n v="3283"/>
    <n v="0"/>
    <x v="3"/>
    <x v="2"/>
    <s v="Standard"/>
    <x v="1"/>
    <n v="22981"/>
  </r>
  <r>
    <s v="ORD10732"/>
    <x v="78"/>
    <x v="1"/>
    <x v="2"/>
    <x v="1"/>
    <x v="1"/>
    <x v="7"/>
    <n v="21784"/>
    <n v="6535.2"/>
    <x v="0"/>
    <x v="2"/>
    <s v="Standard"/>
    <x v="1"/>
    <n v="37032.799999999901"/>
  </r>
  <r>
    <s v="ORD10733"/>
    <x v="216"/>
    <x v="4"/>
    <x v="2"/>
    <x v="2"/>
    <x v="4"/>
    <x v="5"/>
    <n v="8721"/>
    <n v="5232.6000000000004"/>
    <x v="0"/>
    <x v="1"/>
    <s v="Express"/>
    <x v="2"/>
    <n v="47093.4"/>
  </r>
  <r>
    <s v="ORD10734"/>
    <x v="148"/>
    <x v="4"/>
    <x v="2"/>
    <x v="0"/>
    <x v="0"/>
    <x v="2"/>
    <n v="33741"/>
    <n v="16870.5"/>
    <x v="0"/>
    <x v="1"/>
    <s v="Express"/>
    <x v="1"/>
    <n v="151834.5"/>
  </r>
  <r>
    <s v="ORD10735"/>
    <x v="112"/>
    <x v="1"/>
    <x v="1"/>
    <x v="0"/>
    <x v="2"/>
    <x v="4"/>
    <n v="29263"/>
    <n v="2926.3"/>
    <x v="1"/>
    <x v="2"/>
    <s v="Standard"/>
    <x v="1"/>
    <n v="26336.7"/>
  </r>
  <r>
    <s v="ORD10736"/>
    <x v="279"/>
    <x v="2"/>
    <x v="1"/>
    <x v="2"/>
    <x v="0"/>
    <x v="1"/>
    <n v="4932"/>
    <n v="986.40000000000009"/>
    <x v="1"/>
    <x v="0"/>
    <s v="Standard"/>
    <x v="0"/>
    <n v="18741.599999999999"/>
  </r>
  <r>
    <s v="ORD10737"/>
    <x v="163"/>
    <x v="2"/>
    <x v="2"/>
    <x v="1"/>
    <x v="0"/>
    <x v="7"/>
    <n v="27718"/>
    <n v="2771.8"/>
    <x v="3"/>
    <x v="0"/>
    <s v="Express"/>
    <x v="0"/>
    <n v="52664.2"/>
  </r>
  <r>
    <s v="ORD10738"/>
    <x v="276"/>
    <x v="4"/>
    <x v="1"/>
    <x v="2"/>
    <x v="3"/>
    <x v="1"/>
    <n v="39763"/>
    <n v="31810.400000000001"/>
    <x v="1"/>
    <x v="0"/>
    <s v="Express"/>
    <x v="0"/>
    <n v="127241.60000000001"/>
  </r>
  <r>
    <s v="ORD10739"/>
    <x v="103"/>
    <x v="1"/>
    <x v="0"/>
    <x v="2"/>
    <x v="3"/>
    <x v="4"/>
    <n v="39952"/>
    <n v="1997.6000000000001"/>
    <x v="3"/>
    <x v="2"/>
    <s v="Standard"/>
    <x v="2"/>
    <n v="37954.400000000001"/>
  </r>
  <r>
    <s v="ORD10740"/>
    <x v="239"/>
    <x v="2"/>
    <x v="0"/>
    <x v="0"/>
    <x v="3"/>
    <x v="7"/>
    <n v="29897"/>
    <n v="2989.7000000000003"/>
    <x v="2"/>
    <x v="2"/>
    <s v="Same Day"/>
    <x v="2"/>
    <n v="56804.299999999901"/>
  </r>
  <r>
    <s v="ORD10741"/>
    <x v="203"/>
    <x v="1"/>
    <x v="2"/>
    <x v="0"/>
    <x v="2"/>
    <x v="8"/>
    <n v="2767"/>
    <n v="1106.8"/>
    <x v="2"/>
    <x v="2"/>
    <s v="Same Day"/>
    <x v="0"/>
    <n v="21029.200000000001"/>
  </r>
  <r>
    <s v="ORD10742"/>
    <x v="310"/>
    <x v="1"/>
    <x v="0"/>
    <x v="1"/>
    <x v="0"/>
    <x v="5"/>
    <n v="16321"/>
    <n v="14688.9"/>
    <x v="1"/>
    <x v="2"/>
    <s v="Standard"/>
    <x v="0"/>
    <n v="83237.099999999904"/>
  </r>
  <r>
    <s v="ORD10743"/>
    <x v="69"/>
    <x v="1"/>
    <x v="2"/>
    <x v="0"/>
    <x v="1"/>
    <x v="7"/>
    <n v="1874"/>
    <n v="187.4"/>
    <x v="2"/>
    <x v="1"/>
    <s v="Standard"/>
    <x v="1"/>
    <n v="3560.6"/>
  </r>
  <r>
    <s v="ORD10744"/>
    <x v="288"/>
    <x v="3"/>
    <x v="2"/>
    <x v="0"/>
    <x v="4"/>
    <x v="5"/>
    <n v="11075"/>
    <n v="0"/>
    <x v="2"/>
    <x v="2"/>
    <s v="Express"/>
    <x v="1"/>
    <n v="66450"/>
  </r>
  <r>
    <s v="ORD10745"/>
    <x v="304"/>
    <x v="1"/>
    <x v="0"/>
    <x v="2"/>
    <x v="3"/>
    <x v="0"/>
    <n v="44540"/>
    <n v="0"/>
    <x v="0"/>
    <x v="0"/>
    <s v="Express"/>
    <x v="2"/>
    <n v="400860"/>
  </r>
  <r>
    <s v="ORD10746"/>
    <x v="142"/>
    <x v="3"/>
    <x v="1"/>
    <x v="0"/>
    <x v="3"/>
    <x v="3"/>
    <n v="939"/>
    <n v="1314.6000000000001"/>
    <x v="0"/>
    <x v="1"/>
    <s v="Same Day"/>
    <x v="2"/>
    <n v="5258.4"/>
  </r>
  <r>
    <s v="ORD10747"/>
    <x v="262"/>
    <x v="4"/>
    <x v="0"/>
    <x v="1"/>
    <x v="0"/>
    <x v="0"/>
    <n v="1745"/>
    <n v="2355.75"/>
    <x v="3"/>
    <x v="0"/>
    <s v="Standard"/>
    <x v="1"/>
    <n v="13349.25"/>
  </r>
  <r>
    <s v="ORD10748"/>
    <x v="50"/>
    <x v="2"/>
    <x v="0"/>
    <x v="2"/>
    <x v="0"/>
    <x v="2"/>
    <n v="29340"/>
    <n v="0"/>
    <x v="2"/>
    <x v="2"/>
    <s v="Express"/>
    <x v="0"/>
    <n v="146700"/>
  </r>
  <r>
    <s v="ORD10749"/>
    <x v="146"/>
    <x v="2"/>
    <x v="2"/>
    <x v="1"/>
    <x v="2"/>
    <x v="3"/>
    <n v="9527"/>
    <n v="10003.35"/>
    <x v="3"/>
    <x v="1"/>
    <s v="Same Day"/>
    <x v="1"/>
    <n v="56685.65"/>
  </r>
  <r>
    <s v="ORD10750"/>
    <x v="67"/>
    <x v="2"/>
    <x v="2"/>
    <x v="2"/>
    <x v="2"/>
    <x v="3"/>
    <n v="5327"/>
    <n v="5593.3499999999995"/>
    <x v="3"/>
    <x v="2"/>
    <s v="Same Day"/>
    <x v="2"/>
    <n v="31695.6499999999"/>
  </r>
  <r>
    <s v="ORD10751"/>
    <x v="314"/>
    <x v="2"/>
    <x v="2"/>
    <x v="0"/>
    <x v="3"/>
    <x v="6"/>
    <n v="23531"/>
    <n v="14118.6"/>
    <x v="2"/>
    <x v="1"/>
    <s v="Same Day"/>
    <x v="2"/>
    <n v="56474.400000000001"/>
  </r>
  <r>
    <s v="ORD10752"/>
    <x v="241"/>
    <x v="2"/>
    <x v="2"/>
    <x v="2"/>
    <x v="0"/>
    <x v="3"/>
    <n v="23204"/>
    <n v="24364.2"/>
    <x v="1"/>
    <x v="0"/>
    <s v="Express"/>
    <x v="1"/>
    <n v="138063.79999999999"/>
  </r>
  <r>
    <s v="ORD10753"/>
    <x v="315"/>
    <x v="2"/>
    <x v="1"/>
    <x v="2"/>
    <x v="1"/>
    <x v="4"/>
    <n v="42033"/>
    <n v="2101.65"/>
    <x v="2"/>
    <x v="2"/>
    <s v="Express"/>
    <x v="1"/>
    <n v="39931.35"/>
  </r>
  <r>
    <s v="ORD10754"/>
    <x v="316"/>
    <x v="2"/>
    <x v="1"/>
    <x v="0"/>
    <x v="4"/>
    <x v="0"/>
    <n v="10692"/>
    <n v="14434.199999999999"/>
    <x v="0"/>
    <x v="2"/>
    <s v="Standard"/>
    <x v="1"/>
    <n v="81793.8"/>
  </r>
  <r>
    <s v="ORD10755"/>
    <x v="247"/>
    <x v="4"/>
    <x v="1"/>
    <x v="0"/>
    <x v="0"/>
    <x v="5"/>
    <n v="13949"/>
    <n v="16738.8"/>
    <x v="2"/>
    <x v="1"/>
    <s v="Standard"/>
    <x v="2"/>
    <n v="66955.199999999997"/>
  </r>
  <r>
    <s v="ORD10756"/>
    <x v="34"/>
    <x v="1"/>
    <x v="2"/>
    <x v="1"/>
    <x v="0"/>
    <x v="2"/>
    <n v="23708"/>
    <n v="23708"/>
    <x v="1"/>
    <x v="1"/>
    <s v="Same Day"/>
    <x v="0"/>
    <n v="94832"/>
  </r>
  <r>
    <s v="ORD10757"/>
    <x v="226"/>
    <x v="0"/>
    <x v="2"/>
    <x v="1"/>
    <x v="2"/>
    <x v="3"/>
    <n v="9245"/>
    <n v="12943"/>
    <x v="3"/>
    <x v="2"/>
    <s v="Same Day"/>
    <x v="1"/>
    <n v="51772"/>
  </r>
  <r>
    <s v="ORD10758"/>
    <x v="317"/>
    <x v="3"/>
    <x v="2"/>
    <x v="0"/>
    <x v="4"/>
    <x v="2"/>
    <n v="20316"/>
    <n v="0"/>
    <x v="3"/>
    <x v="1"/>
    <s v="Express"/>
    <x v="2"/>
    <n v="101580"/>
  </r>
  <r>
    <s v="ORD10759"/>
    <x v="61"/>
    <x v="0"/>
    <x v="1"/>
    <x v="0"/>
    <x v="3"/>
    <x v="2"/>
    <n v="18867"/>
    <n v="4716.75"/>
    <x v="0"/>
    <x v="2"/>
    <s v="Express"/>
    <x v="2"/>
    <n v="89618.25"/>
  </r>
  <r>
    <s v="ORD10760"/>
    <x v="215"/>
    <x v="0"/>
    <x v="2"/>
    <x v="0"/>
    <x v="0"/>
    <x v="3"/>
    <n v="9721"/>
    <n v="0"/>
    <x v="0"/>
    <x v="1"/>
    <s v="Standard"/>
    <x v="2"/>
    <n v="68047"/>
  </r>
  <r>
    <s v="ORD10761"/>
    <x v="318"/>
    <x v="1"/>
    <x v="0"/>
    <x v="2"/>
    <x v="3"/>
    <x v="3"/>
    <n v="8869"/>
    <n v="6208.3"/>
    <x v="0"/>
    <x v="0"/>
    <s v="Standard"/>
    <x v="1"/>
    <n v="55874.7"/>
  </r>
  <r>
    <s v="ORD10762"/>
    <x v="137"/>
    <x v="1"/>
    <x v="0"/>
    <x v="2"/>
    <x v="0"/>
    <x v="6"/>
    <n v="27502"/>
    <n v="4125.3"/>
    <x v="3"/>
    <x v="1"/>
    <s v="Standard"/>
    <x v="1"/>
    <n v="78380.7"/>
  </r>
  <r>
    <s v="ORD10763"/>
    <x v="206"/>
    <x v="1"/>
    <x v="2"/>
    <x v="2"/>
    <x v="3"/>
    <x v="6"/>
    <n v="11483"/>
    <n v="5167.3499999999995"/>
    <x v="0"/>
    <x v="0"/>
    <s v="Express"/>
    <x v="0"/>
    <n v="29281.6499999999"/>
  </r>
  <r>
    <s v="ORD10764"/>
    <x v="4"/>
    <x v="2"/>
    <x v="0"/>
    <x v="0"/>
    <x v="4"/>
    <x v="6"/>
    <n v="31135"/>
    <n v="18681"/>
    <x v="2"/>
    <x v="1"/>
    <s v="Same Day"/>
    <x v="2"/>
    <n v="74724"/>
  </r>
  <r>
    <s v="ORD10765"/>
    <x v="173"/>
    <x v="4"/>
    <x v="0"/>
    <x v="1"/>
    <x v="2"/>
    <x v="5"/>
    <n v="7198"/>
    <n v="4318.8"/>
    <x v="3"/>
    <x v="1"/>
    <s v="Standard"/>
    <x v="1"/>
    <n v="38869.199999999997"/>
  </r>
  <r>
    <s v="ORD10766"/>
    <x v="255"/>
    <x v="2"/>
    <x v="1"/>
    <x v="0"/>
    <x v="4"/>
    <x v="5"/>
    <n v="29006"/>
    <n v="8701.8000000000011"/>
    <x v="1"/>
    <x v="2"/>
    <s v="Standard"/>
    <x v="2"/>
    <n v="165334.19999999899"/>
  </r>
  <r>
    <s v="ORD10767"/>
    <x v="263"/>
    <x v="4"/>
    <x v="2"/>
    <x v="2"/>
    <x v="1"/>
    <x v="6"/>
    <n v="31824"/>
    <n v="0"/>
    <x v="3"/>
    <x v="1"/>
    <s v="Express"/>
    <x v="2"/>
    <n v="95472"/>
  </r>
  <r>
    <s v="ORD10768"/>
    <x v="66"/>
    <x v="4"/>
    <x v="2"/>
    <x v="2"/>
    <x v="2"/>
    <x v="6"/>
    <n v="13640"/>
    <n v="8184"/>
    <x v="2"/>
    <x v="1"/>
    <s v="Standard"/>
    <x v="0"/>
    <n v="32736"/>
  </r>
  <r>
    <s v="ORD10769"/>
    <x v="250"/>
    <x v="0"/>
    <x v="1"/>
    <x v="0"/>
    <x v="4"/>
    <x v="8"/>
    <n v="45665"/>
    <n v="0"/>
    <x v="2"/>
    <x v="0"/>
    <s v="Same Day"/>
    <x v="1"/>
    <n v="365320"/>
  </r>
  <r>
    <s v="ORD10770"/>
    <x v="142"/>
    <x v="0"/>
    <x v="0"/>
    <x v="0"/>
    <x v="1"/>
    <x v="8"/>
    <n v="46701"/>
    <n v="18680.400000000001"/>
    <x v="0"/>
    <x v="1"/>
    <s v="Express"/>
    <x v="1"/>
    <n v="354927.6"/>
  </r>
  <r>
    <s v="ORD10771"/>
    <x v="224"/>
    <x v="4"/>
    <x v="0"/>
    <x v="2"/>
    <x v="0"/>
    <x v="3"/>
    <n v="21997"/>
    <n v="7698.9500000000007"/>
    <x v="3"/>
    <x v="2"/>
    <s v="Standard"/>
    <x v="2"/>
    <n v="146280.04999999999"/>
  </r>
  <r>
    <s v="ORD10772"/>
    <x v="97"/>
    <x v="4"/>
    <x v="2"/>
    <x v="2"/>
    <x v="0"/>
    <x v="1"/>
    <n v="1469"/>
    <n v="587.6"/>
    <x v="3"/>
    <x v="0"/>
    <s v="Standard"/>
    <x v="2"/>
    <n v="5288.4"/>
  </r>
  <r>
    <s v="ORD10773"/>
    <x v="59"/>
    <x v="2"/>
    <x v="0"/>
    <x v="2"/>
    <x v="3"/>
    <x v="1"/>
    <n v="8068"/>
    <n v="4840.8"/>
    <x v="3"/>
    <x v="2"/>
    <s v="Express"/>
    <x v="0"/>
    <n v="27431.200000000001"/>
  </r>
  <r>
    <s v="ORD10774"/>
    <x v="26"/>
    <x v="2"/>
    <x v="1"/>
    <x v="0"/>
    <x v="2"/>
    <x v="6"/>
    <n v="30451"/>
    <n v="0"/>
    <x v="1"/>
    <x v="2"/>
    <s v="Express"/>
    <x v="0"/>
    <n v="91353"/>
  </r>
  <r>
    <s v="ORD10775"/>
    <x v="120"/>
    <x v="0"/>
    <x v="1"/>
    <x v="2"/>
    <x v="0"/>
    <x v="2"/>
    <n v="12573"/>
    <n v="6286.5"/>
    <x v="0"/>
    <x v="2"/>
    <s v="Standard"/>
    <x v="0"/>
    <n v="56578.5"/>
  </r>
  <r>
    <s v="ORD10776"/>
    <x v="311"/>
    <x v="1"/>
    <x v="2"/>
    <x v="2"/>
    <x v="2"/>
    <x v="6"/>
    <n v="19187"/>
    <n v="11512.2"/>
    <x v="2"/>
    <x v="2"/>
    <s v="Same Day"/>
    <x v="0"/>
    <n v="46048.800000000003"/>
  </r>
  <r>
    <s v="ORD10777"/>
    <x v="225"/>
    <x v="4"/>
    <x v="1"/>
    <x v="1"/>
    <x v="0"/>
    <x v="8"/>
    <n v="38929"/>
    <n v="46714.799999999996"/>
    <x v="2"/>
    <x v="0"/>
    <s v="Express"/>
    <x v="0"/>
    <n v="264717.2"/>
  </r>
  <r>
    <s v="ORD10778"/>
    <x v="178"/>
    <x v="2"/>
    <x v="1"/>
    <x v="0"/>
    <x v="3"/>
    <x v="3"/>
    <n v="15934"/>
    <n v="11153.800000000001"/>
    <x v="0"/>
    <x v="1"/>
    <s v="Same Day"/>
    <x v="0"/>
    <n v="100384.2"/>
  </r>
  <r>
    <s v="ORD10779"/>
    <x v="110"/>
    <x v="0"/>
    <x v="2"/>
    <x v="1"/>
    <x v="4"/>
    <x v="6"/>
    <n v="42629"/>
    <n v="0"/>
    <x v="2"/>
    <x v="2"/>
    <s v="Standard"/>
    <x v="2"/>
    <n v="127887"/>
  </r>
  <r>
    <s v="ORD10780"/>
    <x v="301"/>
    <x v="2"/>
    <x v="1"/>
    <x v="1"/>
    <x v="3"/>
    <x v="0"/>
    <n v="41537"/>
    <n v="18691.650000000001"/>
    <x v="2"/>
    <x v="0"/>
    <s v="Same Day"/>
    <x v="0"/>
    <n v="355141.35"/>
  </r>
  <r>
    <s v="ORD10781"/>
    <x v="113"/>
    <x v="4"/>
    <x v="1"/>
    <x v="2"/>
    <x v="1"/>
    <x v="2"/>
    <n v="40525"/>
    <n v="40525"/>
    <x v="0"/>
    <x v="2"/>
    <s v="Standard"/>
    <x v="2"/>
    <n v="162100"/>
  </r>
  <r>
    <s v="ORD10782"/>
    <x v="244"/>
    <x v="4"/>
    <x v="1"/>
    <x v="0"/>
    <x v="0"/>
    <x v="0"/>
    <n v="18264"/>
    <n v="0"/>
    <x v="2"/>
    <x v="1"/>
    <s v="Standard"/>
    <x v="2"/>
    <n v="164376"/>
  </r>
  <r>
    <s v="ORD10783"/>
    <x v="260"/>
    <x v="3"/>
    <x v="0"/>
    <x v="2"/>
    <x v="1"/>
    <x v="3"/>
    <n v="8633"/>
    <n v="9064.65"/>
    <x v="3"/>
    <x v="0"/>
    <s v="Standard"/>
    <x v="1"/>
    <n v="51366.35"/>
  </r>
  <r>
    <s v="ORD10784"/>
    <x v="131"/>
    <x v="1"/>
    <x v="2"/>
    <x v="0"/>
    <x v="1"/>
    <x v="3"/>
    <n v="48621"/>
    <n v="51052.049999999996"/>
    <x v="1"/>
    <x v="0"/>
    <s v="Standard"/>
    <x v="2"/>
    <n v="289294.95"/>
  </r>
  <r>
    <s v="ORD10785"/>
    <x v="184"/>
    <x v="3"/>
    <x v="2"/>
    <x v="1"/>
    <x v="2"/>
    <x v="5"/>
    <n v="9311"/>
    <n v="2793.3"/>
    <x v="0"/>
    <x v="1"/>
    <s v="Same Day"/>
    <x v="2"/>
    <n v="53072.7"/>
  </r>
  <r>
    <s v="ORD10786"/>
    <x v="0"/>
    <x v="0"/>
    <x v="2"/>
    <x v="0"/>
    <x v="0"/>
    <x v="7"/>
    <n v="38650"/>
    <n v="3865"/>
    <x v="1"/>
    <x v="0"/>
    <s v="Standard"/>
    <x v="0"/>
    <n v="73435"/>
  </r>
  <r>
    <s v="ORD10787"/>
    <x v="20"/>
    <x v="2"/>
    <x v="0"/>
    <x v="2"/>
    <x v="1"/>
    <x v="0"/>
    <n v="48447"/>
    <n v="87204.6"/>
    <x v="2"/>
    <x v="1"/>
    <s v="Standard"/>
    <x v="2"/>
    <n v="348818.4"/>
  </r>
  <r>
    <s v="ORD10788"/>
    <x v="71"/>
    <x v="0"/>
    <x v="0"/>
    <x v="2"/>
    <x v="4"/>
    <x v="5"/>
    <n v="15247"/>
    <n v="18296.400000000001"/>
    <x v="2"/>
    <x v="0"/>
    <s v="Same Day"/>
    <x v="0"/>
    <n v="73185.600000000006"/>
  </r>
  <r>
    <s v="ORD10789"/>
    <x v="198"/>
    <x v="4"/>
    <x v="2"/>
    <x v="2"/>
    <x v="1"/>
    <x v="8"/>
    <n v="8284"/>
    <n v="3313.6000000000004"/>
    <x v="3"/>
    <x v="0"/>
    <s v="Express"/>
    <x v="0"/>
    <n v="62958.3999999999"/>
  </r>
  <r>
    <s v="ORD10790"/>
    <x v="19"/>
    <x v="3"/>
    <x v="0"/>
    <x v="0"/>
    <x v="4"/>
    <x v="4"/>
    <n v="21951"/>
    <n v="1097.55"/>
    <x v="0"/>
    <x v="1"/>
    <s v="Same Day"/>
    <x v="0"/>
    <n v="20853.45"/>
  </r>
  <r>
    <s v="ORD10791"/>
    <x v="224"/>
    <x v="3"/>
    <x v="2"/>
    <x v="1"/>
    <x v="2"/>
    <x v="2"/>
    <n v="16653"/>
    <n v="12489.75"/>
    <x v="2"/>
    <x v="1"/>
    <s v="Same Day"/>
    <x v="1"/>
    <n v="70775.25"/>
  </r>
  <r>
    <s v="ORD10792"/>
    <x v="163"/>
    <x v="3"/>
    <x v="0"/>
    <x v="1"/>
    <x v="1"/>
    <x v="4"/>
    <n v="20508"/>
    <n v="1025.4000000000001"/>
    <x v="0"/>
    <x v="0"/>
    <s v="Same Day"/>
    <x v="0"/>
    <n v="19482.599999999999"/>
  </r>
  <r>
    <s v="ORD10793"/>
    <x v="76"/>
    <x v="0"/>
    <x v="1"/>
    <x v="0"/>
    <x v="3"/>
    <x v="8"/>
    <n v="39168"/>
    <n v="31334.400000000001"/>
    <x v="0"/>
    <x v="0"/>
    <s v="Standard"/>
    <x v="2"/>
    <n v="282009.59999999998"/>
  </r>
  <r>
    <s v="ORD10794"/>
    <x v="135"/>
    <x v="4"/>
    <x v="1"/>
    <x v="2"/>
    <x v="2"/>
    <x v="8"/>
    <n v="30277"/>
    <n v="0"/>
    <x v="0"/>
    <x v="1"/>
    <s v="Standard"/>
    <x v="0"/>
    <n v="242216"/>
  </r>
  <r>
    <s v="ORD10795"/>
    <x v="319"/>
    <x v="2"/>
    <x v="2"/>
    <x v="1"/>
    <x v="4"/>
    <x v="4"/>
    <n v="43246"/>
    <n v="2162.3000000000002"/>
    <x v="0"/>
    <x v="1"/>
    <s v="Standard"/>
    <x v="0"/>
    <n v="41083.699999999997"/>
  </r>
  <r>
    <s v="ORD10796"/>
    <x v="320"/>
    <x v="2"/>
    <x v="0"/>
    <x v="2"/>
    <x v="2"/>
    <x v="0"/>
    <n v="34975"/>
    <n v="62955"/>
    <x v="0"/>
    <x v="0"/>
    <s v="Express"/>
    <x v="0"/>
    <n v="251820"/>
  </r>
  <r>
    <s v="ORD10797"/>
    <x v="172"/>
    <x v="0"/>
    <x v="0"/>
    <x v="0"/>
    <x v="1"/>
    <x v="7"/>
    <n v="48770"/>
    <n v="9754"/>
    <x v="1"/>
    <x v="0"/>
    <s v="Standard"/>
    <x v="1"/>
    <n v="87786"/>
  </r>
  <r>
    <s v="ORD10798"/>
    <x v="277"/>
    <x v="3"/>
    <x v="1"/>
    <x v="2"/>
    <x v="0"/>
    <x v="0"/>
    <n v="46297"/>
    <n v="83334.600000000006"/>
    <x v="3"/>
    <x v="0"/>
    <s v="Express"/>
    <x v="2"/>
    <n v="333338.40000000002"/>
  </r>
  <r>
    <s v="ORD10799"/>
    <x v="321"/>
    <x v="1"/>
    <x v="1"/>
    <x v="1"/>
    <x v="0"/>
    <x v="4"/>
    <n v="24703"/>
    <n v="2470.3000000000002"/>
    <x v="0"/>
    <x v="1"/>
    <s v="Standard"/>
    <x v="1"/>
    <n v="22232.7"/>
  </r>
  <r>
    <s v="ORD10800"/>
    <x v="319"/>
    <x v="0"/>
    <x v="0"/>
    <x v="1"/>
    <x v="4"/>
    <x v="0"/>
    <n v="2979"/>
    <n v="1340.5500000000002"/>
    <x v="1"/>
    <x v="0"/>
    <s v="Same Day"/>
    <x v="2"/>
    <n v="25470.449999999899"/>
  </r>
  <r>
    <s v="ORD10801"/>
    <x v="322"/>
    <x v="0"/>
    <x v="0"/>
    <x v="2"/>
    <x v="4"/>
    <x v="1"/>
    <n v="21504"/>
    <n v="0"/>
    <x v="2"/>
    <x v="2"/>
    <s v="Standard"/>
    <x v="1"/>
    <n v="86016"/>
  </r>
  <r>
    <s v="ORD10802"/>
    <x v="157"/>
    <x v="4"/>
    <x v="0"/>
    <x v="0"/>
    <x v="0"/>
    <x v="0"/>
    <n v="955"/>
    <n v="1719"/>
    <x v="0"/>
    <x v="1"/>
    <s v="Express"/>
    <x v="2"/>
    <n v="6876"/>
  </r>
  <r>
    <s v="ORD10803"/>
    <x v="60"/>
    <x v="2"/>
    <x v="0"/>
    <x v="2"/>
    <x v="4"/>
    <x v="3"/>
    <n v="39463"/>
    <n v="27624.100000000002"/>
    <x v="2"/>
    <x v="0"/>
    <s v="Express"/>
    <x v="1"/>
    <n v="248616.9"/>
  </r>
  <r>
    <s v="ORD10804"/>
    <x v="34"/>
    <x v="0"/>
    <x v="0"/>
    <x v="0"/>
    <x v="2"/>
    <x v="5"/>
    <n v="43155"/>
    <n v="38839.5"/>
    <x v="0"/>
    <x v="1"/>
    <s v="Standard"/>
    <x v="0"/>
    <n v="220090.5"/>
  </r>
  <r>
    <s v="ORD10805"/>
    <x v="56"/>
    <x v="0"/>
    <x v="0"/>
    <x v="2"/>
    <x v="3"/>
    <x v="2"/>
    <n v="42481"/>
    <n v="10620.25"/>
    <x v="1"/>
    <x v="2"/>
    <s v="Same Day"/>
    <x v="1"/>
    <n v="201784.75"/>
  </r>
  <r>
    <s v="ORD10806"/>
    <x v="288"/>
    <x v="3"/>
    <x v="2"/>
    <x v="1"/>
    <x v="3"/>
    <x v="0"/>
    <n v="17600"/>
    <n v="0"/>
    <x v="1"/>
    <x v="1"/>
    <s v="Standard"/>
    <x v="1"/>
    <n v="158400"/>
  </r>
  <r>
    <s v="ORD10807"/>
    <x v="257"/>
    <x v="3"/>
    <x v="0"/>
    <x v="0"/>
    <x v="2"/>
    <x v="7"/>
    <n v="40315"/>
    <n v="4031.5"/>
    <x v="1"/>
    <x v="0"/>
    <s v="Standard"/>
    <x v="0"/>
    <n v="76598.5"/>
  </r>
  <r>
    <s v="ORD10808"/>
    <x v="323"/>
    <x v="1"/>
    <x v="1"/>
    <x v="0"/>
    <x v="3"/>
    <x v="7"/>
    <n v="14449"/>
    <n v="4334.7"/>
    <x v="3"/>
    <x v="2"/>
    <s v="Standard"/>
    <x v="0"/>
    <n v="24563.3"/>
  </r>
  <r>
    <s v="ORD10809"/>
    <x v="160"/>
    <x v="4"/>
    <x v="2"/>
    <x v="0"/>
    <x v="1"/>
    <x v="0"/>
    <n v="47847"/>
    <n v="0"/>
    <x v="2"/>
    <x v="2"/>
    <s v="Same Day"/>
    <x v="2"/>
    <n v="430623"/>
  </r>
  <r>
    <s v="ORD10810"/>
    <x v="269"/>
    <x v="1"/>
    <x v="0"/>
    <x v="1"/>
    <x v="2"/>
    <x v="6"/>
    <n v="47025"/>
    <n v="21161.25"/>
    <x v="3"/>
    <x v="0"/>
    <s v="Express"/>
    <x v="2"/>
    <n v="119913.75"/>
  </r>
  <r>
    <s v="ORD10811"/>
    <x v="219"/>
    <x v="3"/>
    <x v="1"/>
    <x v="2"/>
    <x v="4"/>
    <x v="8"/>
    <n v="45025"/>
    <n v="18010"/>
    <x v="0"/>
    <x v="0"/>
    <s v="Same Day"/>
    <x v="2"/>
    <n v="342190"/>
  </r>
  <r>
    <s v="ORD10812"/>
    <x v="51"/>
    <x v="2"/>
    <x v="2"/>
    <x v="1"/>
    <x v="2"/>
    <x v="0"/>
    <n v="24800"/>
    <n v="22320"/>
    <x v="2"/>
    <x v="0"/>
    <s v="Express"/>
    <x v="1"/>
    <n v="200880"/>
  </r>
  <r>
    <s v="ORD10813"/>
    <x v="252"/>
    <x v="3"/>
    <x v="1"/>
    <x v="0"/>
    <x v="0"/>
    <x v="8"/>
    <n v="37906"/>
    <n v="15162.400000000001"/>
    <x v="1"/>
    <x v="1"/>
    <s v="Express"/>
    <x v="2"/>
    <n v="288085.59999999998"/>
  </r>
  <r>
    <s v="ORD10814"/>
    <x v="318"/>
    <x v="4"/>
    <x v="0"/>
    <x v="2"/>
    <x v="4"/>
    <x v="1"/>
    <n v="19422"/>
    <n v="3884.4"/>
    <x v="2"/>
    <x v="1"/>
    <s v="Express"/>
    <x v="1"/>
    <n v="73803.599999999904"/>
  </r>
  <r>
    <s v="ORD10815"/>
    <x v="236"/>
    <x v="3"/>
    <x v="0"/>
    <x v="1"/>
    <x v="0"/>
    <x v="4"/>
    <n v="33705"/>
    <n v="1685.25"/>
    <x v="1"/>
    <x v="1"/>
    <s v="Same Day"/>
    <x v="1"/>
    <n v="32019.75"/>
  </r>
  <r>
    <s v="ORD10816"/>
    <x v="50"/>
    <x v="4"/>
    <x v="0"/>
    <x v="0"/>
    <x v="4"/>
    <x v="1"/>
    <n v="39168"/>
    <n v="31334.400000000001"/>
    <x v="3"/>
    <x v="0"/>
    <s v="Standard"/>
    <x v="2"/>
    <n v="125337.60000000001"/>
  </r>
  <r>
    <s v="ORD10817"/>
    <x v="317"/>
    <x v="4"/>
    <x v="0"/>
    <x v="0"/>
    <x v="3"/>
    <x v="0"/>
    <n v="41339"/>
    <n v="55807.65"/>
    <x v="3"/>
    <x v="0"/>
    <s v="Standard"/>
    <x v="2"/>
    <n v="316243.34999999998"/>
  </r>
  <r>
    <s v="ORD10818"/>
    <x v="156"/>
    <x v="4"/>
    <x v="2"/>
    <x v="1"/>
    <x v="2"/>
    <x v="7"/>
    <n v="49583"/>
    <n v="14874.9"/>
    <x v="1"/>
    <x v="1"/>
    <s v="Standard"/>
    <x v="1"/>
    <n v="84291.099999999904"/>
  </r>
  <r>
    <s v="ORD10819"/>
    <x v="290"/>
    <x v="4"/>
    <x v="2"/>
    <x v="1"/>
    <x v="1"/>
    <x v="6"/>
    <n v="41502"/>
    <n v="18675.899999999998"/>
    <x v="1"/>
    <x v="2"/>
    <s v="Standard"/>
    <x v="0"/>
    <n v="105830.099999999"/>
  </r>
  <r>
    <s v="ORD10820"/>
    <x v="270"/>
    <x v="4"/>
    <x v="1"/>
    <x v="1"/>
    <x v="4"/>
    <x v="8"/>
    <n v="29348"/>
    <n v="46956.800000000003"/>
    <x v="0"/>
    <x v="1"/>
    <s v="Standard"/>
    <x v="0"/>
    <n v="187827.20000000001"/>
  </r>
  <r>
    <s v="ORD10821"/>
    <x v="164"/>
    <x v="2"/>
    <x v="0"/>
    <x v="0"/>
    <x v="4"/>
    <x v="5"/>
    <n v="22502"/>
    <n v="13501.2"/>
    <x v="3"/>
    <x v="2"/>
    <s v="Same Day"/>
    <x v="1"/>
    <n v="121510.8"/>
  </r>
  <r>
    <s v="ORD10822"/>
    <x v="324"/>
    <x v="1"/>
    <x v="1"/>
    <x v="1"/>
    <x v="0"/>
    <x v="8"/>
    <n v="2823"/>
    <n v="1129.2"/>
    <x v="3"/>
    <x v="0"/>
    <s v="Same Day"/>
    <x v="2"/>
    <n v="21454.799999999999"/>
  </r>
  <r>
    <s v="ORD10823"/>
    <x v="277"/>
    <x v="0"/>
    <x v="2"/>
    <x v="0"/>
    <x v="3"/>
    <x v="3"/>
    <n v="8846"/>
    <n v="6192.2000000000007"/>
    <x v="0"/>
    <x v="0"/>
    <s v="Same Day"/>
    <x v="1"/>
    <n v="55729.8"/>
  </r>
  <r>
    <s v="ORD10824"/>
    <x v="175"/>
    <x v="1"/>
    <x v="0"/>
    <x v="1"/>
    <x v="0"/>
    <x v="2"/>
    <n v="13743"/>
    <n v="13743"/>
    <x v="3"/>
    <x v="1"/>
    <s v="Same Day"/>
    <x v="1"/>
    <n v="54972"/>
  </r>
  <r>
    <s v="ORD10825"/>
    <x v="280"/>
    <x v="4"/>
    <x v="0"/>
    <x v="0"/>
    <x v="0"/>
    <x v="0"/>
    <n v="29160"/>
    <n v="39366"/>
    <x v="1"/>
    <x v="1"/>
    <s v="Same Day"/>
    <x v="2"/>
    <n v="223074"/>
  </r>
  <r>
    <s v="ORD10826"/>
    <x v="266"/>
    <x v="2"/>
    <x v="2"/>
    <x v="0"/>
    <x v="3"/>
    <x v="1"/>
    <n v="22985"/>
    <n v="4597"/>
    <x v="2"/>
    <x v="0"/>
    <s v="Same Day"/>
    <x v="0"/>
    <n v="87343"/>
  </r>
  <r>
    <s v="ORD10827"/>
    <x v="206"/>
    <x v="3"/>
    <x v="2"/>
    <x v="2"/>
    <x v="1"/>
    <x v="5"/>
    <n v="13017"/>
    <n v="0"/>
    <x v="2"/>
    <x v="1"/>
    <s v="Same Day"/>
    <x v="1"/>
    <n v="78102"/>
  </r>
  <r>
    <s v="ORD10828"/>
    <x v="306"/>
    <x v="2"/>
    <x v="2"/>
    <x v="1"/>
    <x v="0"/>
    <x v="7"/>
    <n v="31606"/>
    <n v="0"/>
    <x v="3"/>
    <x v="0"/>
    <s v="Standard"/>
    <x v="0"/>
    <n v="63212"/>
  </r>
  <r>
    <s v="ORD10829"/>
    <x v="12"/>
    <x v="4"/>
    <x v="2"/>
    <x v="1"/>
    <x v="0"/>
    <x v="7"/>
    <n v="23656"/>
    <n v="4731.2"/>
    <x v="0"/>
    <x v="0"/>
    <s v="Express"/>
    <x v="0"/>
    <n v="42580.800000000003"/>
  </r>
  <r>
    <s v="ORD10830"/>
    <x v="160"/>
    <x v="2"/>
    <x v="2"/>
    <x v="0"/>
    <x v="4"/>
    <x v="7"/>
    <n v="23977"/>
    <n v="7193.0999999999995"/>
    <x v="1"/>
    <x v="2"/>
    <s v="Same Day"/>
    <x v="2"/>
    <n v="40760.9"/>
  </r>
  <r>
    <s v="ORD10831"/>
    <x v="210"/>
    <x v="2"/>
    <x v="0"/>
    <x v="0"/>
    <x v="3"/>
    <x v="3"/>
    <n v="21114"/>
    <n v="0"/>
    <x v="2"/>
    <x v="1"/>
    <s v="Express"/>
    <x v="1"/>
    <n v="147798"/>
  </r>
  <r>
    <s v="ORD10832"/>
    <x v="190"/>
    <x v="4"/>
    <x v="2"/>
    <x v="0"/>
    <x v="2"/>
    <x v="7"/>
    <n v="29753"/>
    <n v="5950.6"/>
    <x v="1"/>
    <x v="0"/>
    <s v="Same Day"/>
    <x v="1"/>
    <n v="53555.4"/>
  </r>
  <r>
    <s v="ORD10833"/>
    <x v="116"/>
    <x v="2"/>
    <x v="0"/>
    <x v="2"/>
    <x v="1"/>
    <x v="7"/>
    <n v="23748"/>
    <n v="9499.2000000000007"/>
    <x v="3"/>
    <x v="1"/>
    <s v="Same Day"/>
    <x v="0"/>
    <n v="37996.800000000003"/>
  </r>
  <r>
    <s v="ORD10834"/>
    <x v="190"/>
    <x v="0"/>
    <x v="0"/>
    <x v="2"/>
    <x v="1"/>
    <x v="0"/>
    <n v="37465"/>
    <n v="33718.5"/>
    <x v="3"/>
    <x v="2"/>
    <s v="Standard"/>
    <x v="0"/>
    <n v="303466.5"/>
  </r>
  <r>
    <s v="ORD10835"/>
    <x v="218"/>
    <x v="0"/>
    <x v="2"/>
    <x v="0"/>
    <x v="3"/>
    <x v="3"/>
    <n v="40901"/>
    <n v="28630.7"/>
    <x v="2"/>
    <x v="2"/>
    <s v="Express"/>
    <x v="2"/>
    <n v="257676.3"/>
  </r>
  <r>
    <s v="ORD10836"/>
    <x v="274"/>
    <x v="2"/>
    <x v="2"/>
    <x v="1"/>
    <x v="4"/>
    <x v="6"/>
    <n v="6927"/>
    <n v="2078.1"/>
    <x v="3"/>
    <x v="1"/>
    <s v="Standard"/>
    <x v="0"/>
    <n v="18702.900000000001"/>
  </r>
  <r>
    <s v="ORD10837"/>
    <x v="126"/>
    <x v="3"/>
    <x v="0"/>
    <x v="1"/>
    <x v="4"/>
    <x v="6"/>
    <n v="45124"/>
    <n v="6768.6"/>
    <x v="0"/>
    <x v="1"/>
    <s v="Standard"/>
    <x v="2"/>
    <n v="128603.4"/>
  </r>
  <r>
    <s v="ORD10838"/>
    <x v="325"/>
    <x v="4"/>
    <x v="2"/>
    <x v="2"/>
    <x v="3"/>
    <x v="3"/>
    <n v="32627"/>
    <n v="22838.9"/>
    <x v="3"/>
    <x v="0"/>
    <s v="Express"/>
    <x v="1"/>
    <n v="205550.1"/>
  </r>
  <r>
    <s v="ORD10839"/>
    <x v="7"/>
    <x v="0"/>
    <x v="2"/>
    <x v="2"/>
    <x v="4"/>
    <x v="2"/>
    <n v="16892"/>
    <n v="8446"/>
    <x v="3"/>
    <x v="2"/>
    <s v="Standard"/>
    <x v="2"/>
    <n v="76014"/>
  </r>
  <r>
    <s v="ORD10840"/>
    <x v="34"/>
    <x v="3"/>
    <x v="2"/>
    <x v="0"/>
    <x v="1"/>
    <x v="5"/>
    <n v="31825"/>
    <n v="9547.5"/>
    <x v="3"/>
    <x v="2"/>
    <s v="Same Day"/>
    <x v="0"/>
    <n v="181402.5"/>
  </r>
  <r>
    <s v="ORD10841"/>
    <x v="21"/>
    <x v="2"/>
    <x v="1"/>
    <x v="1"/>
    <x v="1"/>
    <x v="8"/>
    <n v="25118"/>
    <n v="10047.200000000001"/>
    <x v="1"/>
    <x v="2"/>
    <s v="Same Day"/>
    <x v="1"/>
    <n v="190896.8"/>
  </r>
  <r>
    <s v="ORD10842"/>
    <x v="109"/>
    <x v="3"/>
    <x v="0"/>
    <x v="0"/>
    <x v="2"/>
    <x v="0"/>
    <n v="41595"/>
    <n v="74871"/>
    <x v="1"/>
    <x v="1"/>
    <s v="Same Day"/>
    <x v="2"/>
    <n v="299484"/>
  </r>
  <r>
    <s v="ORD10843"/>
    <x v="52"/>
    <x v="1"/>
    <x v="1"/>
    <x v="2"/>
    <x v="3"/>
    <x v="4"/>
    <n v="41336"/>
    <n v="6200.4"/>
    <x v="2"/>
    <x v="0"/>
    <s v="Same Day"/>
    <x v="1"/>
    <n v="35135.599999999999"/>
  </r>
  <r>
    <s v="ORD10844"/>
    <x v="30"/>
    <x v="0"/>
    <x v="2"/>
    <x v="1"/>
    <x v="0"/>
    <x v="6"/>
    <n v="49490"/>
    <n v="0"/>
    <x v="2"/>
    <x v="1"/>
    <s v="Same Day"/>
    <x v="2"/>
    <n v="148470"/>
  </r>
  <r>
    <s v="ORD10845"/>
    <x v="199"/>
    <x v="2"/>
    <x v="1"/>
    <x v="1"/>
    <x v="0"/>
    <x v="3"/>
    <n v="49545"/>
    <n v="0"/>
    <x v="2"/>
    <x v="1"/>
    <s v="Standard"/>
    <x v="0"/>
    <n v="346815"/>
  </r>
  <r>
    <s v="ORD10846"/>
    <x v="24"/>
    <x v="4"/>
    <x v="2"/>
    <x v="2"/>
    <x v="2"/>
    <x v="5"/>
    <n v="15777"/>
    <n v="9466.2000000000007"/>
    <x v="3"/>
    <x v="1"/>
    <s v="Standard"/>
    <x v="0"/>
    <n v="85195.8"/>
  </r>
  <r>
    <s v="ORD10847"/>
    <x v="168"/>
    <x v="2"/>
    <x v="1"/>
    <x v="0"/>
    <x v="2"/>
    <x v="3"/>
    <n v="19819"/>
    <n v="27746.600000000002"/>
    <x v="1"/>
    <x v="0"/>
    <s v="Same Day"/>
    <x v="1"/>
    <n v="110986.4"/>
  </r>
  <r>
    <s v="ORD10848"/>
    <x v="247"/>
    <x v="4"/>
    <x v="2"/>
    <x v="0"/>
    <x v="4"/>
    <x v="8"/>
    <n v="46440"/>
    <n v="37152"/>
    <x v="0"/>
    <x v="1"/>
    <s v="Same Day"/>
    <x v="1"/>
    <n v="334368"/>
  </r>
  <r>
    <s v="ORD10849"/>
    <x v="288"/>
    <x v="2"/>
    <x v="1"/>
    <x v="1"/>
    <x v="2"/>
    <x v="5"/>
    <n v="33910"/>
    <n v="0"/>
    <x v="3"/>
    <x v="2"/>
    <s v="Standard"/>
    <x v="1"/>
    <n v="203460"/>
  </r>
  <r>
    <s v="ORD10850"/>
    <x v="141"/>
    <x v="3"/>
    <x v="1"/>
    <x v="2"/>
    <x v="2"/>
    <x v="6"/>
    <n v="37588"/>
    <n v="5638.2000000000007"/>
    <x v="3"/>
    <x v="2"/>
    <s v="Express"/>
    <x v="2"/>
    <n v="107125.799999999"/>
  </r>
  <r>
    <s v="ORD10851"/>
    <x v="271"/>
    <x v="3"/>
    <x v="1"/>
    <x v="1"/>
    <x v="0"/>
    <x v="7"/>
    <n v="16395"/>
    <n v="4918.5"/>
    <x v="3"/>
    <x v="2"/>
    <s v="Standard"/>
    <x v="0"/>
    <n v="27871.5"/>
  </r>
  <r>
    <s v="ORD10852"/>
    <x v="49"/>
    <x v="3"/>
    <x v="0"/>
    <x v="2"/>
    <x v="4"/>
    <x v="3"/>
    <n v="27889"/>
    <n v="39044.6"/>
    <x v="0"/>
    <x v="0"/>
    <s v="Standard"/>
    <x v="1"/>
    <n v="156178.4"/>
  </r>
  <r>
    <s v="ORD10853"/>
    <x v="202"/>
    <x v="1"/>
    <x v="1"/>
    <x v="0"/>
    <x v="2"/>
    <x v="4"/>
    <n v="11354"/>
    <n v="567.70000000000005"/>
    <x v="2"/>
    <x v="1"/>
    <s v="Standard"/>
    <x v="1"/>
    <n v="10786.3"/>
  </r>
  <r>
    <s v="ORD10854"/>
    <x v="318"/>
    <x v="4"/>
    <x v="0"/>
    <x v="2"/>
    <x v="2"/>
    <x v="6"/>
    <n v="39321"/>
    <n v="17694.45"/>
    <x v="0"/>
    <x v="0"/>
    <s v="Standard"/>
    <x v="1"/>
    <n v="100268.55"/>
  </r>
  <r>
    <s v="ORD10855"/>
    <x v="316"/>
    <x v="3"/>
    <x v="2"/>
    <x v="0"/>
    <x v="4"/>
    <x v="1"/>
    <n v="29612"/>
    <n v="23689.600000000002"/>
    <x v="2"/>
    <x v="1"/>
    <s v="Standard"/>
    <x v="2"/>
    <n v="94758.399999999994"/>
  </r>
  <r>
    <s v="ORD10856"/>
    <x v="64"/>
    <x v="1"/>
    <x v="1"/>
    <x v="2"/>
    <x v="3"/>
    <x v="4"/>
    <n v="21541"/>
    <n v="4308.2"/>
    <x v="0"/>
    <x v="2"/>
    <s v="Express"/>
    <x v="1"/>
    <n v="17232.8"/>
  </r>
  <r>
    <s v="ORD10857"/>
    <x v="82"/>
    <x v="4"/>
    <x v="2"/>
    <x v="1"/>
    <x v="4"/>
    <x v="2"/>
    <n v="32218"/>
    <n v="0"/>
    <x v="1"/>
    <x v="1"/>
    <s v="Same Day"/>
    <x v="1"/>
    <n v="161090"/>
  </r>
  <r>
    <s v="ORD10858"/>
    <x v="326"/>
    <x v="2"/>
    <x v="2"/>
    <x v="0"/>
    <x v="0"/>
    <x v="6"/>
    <n v="9345"/>
    <n v="1401.75"/>
    <x v="3"/>
    <x v="1"/>
    <s v="Same Day"/>
    <x v="2"/>
    <n v="26633.25"/>
  </r>
  <r>
    <s v="ORD10859"/>
    <x v="313"/>
    <x v="1"/>
    <x v="1"/>
    <x v="1"/>
    <x v="3"/>
    <x v="7"/>
    <n v="42462"/>
    <n v="16984.8"/>
    <x v="3"/>
    <x v="1"/>
    <s v="Express"/>
    <x v="2"/>
    <n v="67939.199999999997"/>
  </r>
  <r>
    <s v="ORD10860"/>
    <x v="277"/>
    <x v="0"/>
    <x v="0"/>
    <x v="1"/>
    <x v="1"/>
    <x v="6"/>
    <n v="46530"/>
    <n v="27918"/>
    <x v="3"/>
    <x v="0"/>
    <s v="Same Day"/>
    <x v="1"/>
    <n v="111672"/>
  </r>
  <r>
    <s v="ORD10861"/>
    <x v="238"/>
    <x v="1"/>
    <x v="1"/>
    <x v="0"/>
    <x v="4"/>
    <x v="8"/>
    <n v="22423"/>
    <n v="26907.599999999999"/>
    <x v="2"/>
    <x v="1"/>
    <s v="Same Day"/>
    <x v="1"/>
    <n v="152476.4"/>
  </r>
  <r>
    <s v="ORD10862"/>
    <x v="139"/>
    <x v="1"/>
    <x v="2"/>
    <x v="0"/>
    <x v="0"/>
    <x v="5"/>
    <n v="3080"/>
    <n v="0"/>
    <x v="0"/>
    <x v="1"/>
    <s v="Same Day"/>
    <x v="2"/>
    <n v="18480"/>
  </r>
  <r>
    <s v="ORD10863"/>
    <x v="105"/>
    <x v="4"/>
    <x v="2"/>
    <x v="1"/>
    <x v="3"/>
    <x v="3"/>
    <n v="21471"/>
    <n v="15029.7"/>
    <x v="1"/>
    <x v="1"/>
    <s v="Express"/>
    <x v="0"/>
    <n v="135267.29999999999"/>
  </r>
  <r>
    <s v="ORD10864"/>
    <x v="248"/>
    <x v="2"/>
    <x v="1"/>
    <x v="1"/>
    <x v="4"/>
    <x v="5"/>
    <n v="33513"/>
    <n v="0"/>
    <x v="0"/>
    <x v="0"/>
    <s v="Express"/>
    <x v="2"/>
    <n v="201078"/>
  </r>
  <r>
    <s v="ORD10865"/>
    <x v="327"/>
    <x v="0"/>
    <x v="0"/>
    <x v="1"/>
    <x v="2"/>
    <x v="5"/>
    <n v="47100"/>
    <n v="28260"/>
    <x v="3"/>
    <x v="0"/>
    <s v="Same Day"/>
    <x v="0"/>
    <n v="254340"/>
  </r>
  <r>
    <s v="ORD10866"/>
    <x v="237"/>
    <x v="3"/>
    <x v="0"/>
    <x v="1"/>
    <x v="4"/>
    <x v="6"/>
    <n v="13504"/>
    <n v="2025.6000000000001"/>
    <x v="1"/>
    <x v="0"/>
    <s v="Same Day"/>
    <x v="1"/>
    <n v="38486.400000000001"/>
  </r>
  <r>
    <s v="ORD10867"/>
    <x v="3"/>
    <x v="3"/>
    <x v="2"/>
    <x v="0"/>
    <x v="1"/>
    <x v="8"/>
    <n v="34895"/>
    <n v="13958"/>
    <x v="1"/>
    <x v="1"/>
    <s v="Same Day"/>
    <x v="1"/>
    <n v="265202"/>
  </r>
  <r>
    <s v="ORD10868"/>
    <x v="242"/>
    <x v="1"/>
    <x v="2"/>
    <x v="0"/>
    <x v="4"/>
    <x v="3"/>
    <n v="30425"/>
    <n v="42595"/>
    <x v="3"/>
    <x v="2"/>
    <s v="Standard"/>
    <x v="0"/>
    <n v="170380"/>
  </r>
  <r>
    <s v="ORD10869"/>
    <x v="99"/>
    <x v="4"/>
    <x v="0"/>
    <x v="1"/>
    <x v="3"/>
    <x v="3"/>
    <n v="20736"/>
    <n v="7257.6"/>
    <x v="0"/>
    <x v="2"/>
    <s v="Standard"/>
    <x v="2"/>
    <n v="137894.39999999999"/>
  </r>
  <r>
    <s v="ORD10870"/>
    <x v="325"/>
    <x v="4"/>
    <x v="1"/>
    <x v="2"/>
    <x v="3"/>
    <x v="5"/>
    <n v="31031"/>
    <n v="37237.200000000004"/>
    <x v="3"/>
    <x v="2"/>
    <s v="Standard"/>
    <x v="1"/>
    <n v="148948.79999999999"/>
  </r>
  <r>
    <s v="ORD10871"/>
    <x v="272"/>
    <x v="3"/>
    <x v="2"/>
    <x v="2"/>
    <x v="4"/>
    <x v="2"/>
    <n v="49356"/>
    <n v="0"/>
    <x v="0"/>
    <x v="1"/>
    <s v="Express"/>
    <x v="0"/>
    <n v="246780"/>
  </r>
  <r>
    <s v="ORD10872"/>
    <x v="222"/>
    <x v="0"/>
    <x v="0"/>
    <x v="0"/>
    <x v="3"/>
    <x v="8"/>
    <n v="11873"/>
    <n v="4749.2"/>
    <x v="1"/>
    <x v="2"/>
    <s v="Same Day"/>
    <x v="2"/>
    <n v="90234.8"/>
  </r>
  <r>
    <s v="ORD10873"/>
    <x v="296"/>
    <x v="2"/>
    <x v="2"/>
    <x v="1"/>
    <x v="2"/>
    <x v="2"/>
    <n v="22117"/>
    <n v="0"/>
    <x v="1"/>
    <x v="2"/>
    <s v="Express"/>
    <x v="0"/>
    <n v="110585"/>
  </r>
  <r>
    <s v="ORD10874"/>
    <x v="108"/>
    <x v="0"/>
    <x v="1"/>
    <x v="1"/>
    <x v="4"/>
    <x v="0"/>
    <n v="28029"/>
    <n v="0"/>
    <x v="3"/>
    <x v="2"/>
    <s v="Express"/>
    <x v="2"/>
    <n v="252261"/>
  </r>
  <r>
    <s v="ORD10875"/>
    <x v="306"/>
    <x v="2"/>
    <x v="0"/>
    <x v="0"/>
    <x v="2"/>
    <x v="0"/>
    <n v="15572"/>
    <n v="7007.4000000000005"/>
    <x v="1"/>
    <x v="1"/>
    <s v="Express"/>
    <x v="2"/>
    <n v="133140.6"/>
  </r>
  <r>
    <s v="ORD10876"/>
    <x v="150"/>
    <x v="3"/>
    <x v="2"/>
    <x v="2"/>
    <x v="2"/>
    <x v="4"/>
    <n v="26138"/>
    <n v="0"/>
    <x v="2"/>
    <x v="2"/>
    <s v="Same Day"/>
    <x v="2"/>
    <n v="26138"/>
  </r>
  <r>
    <s v="ORD10877"/>
    <x v="223"/>
    <x v="2"/>
    <x v="1"/>
    <x v="2"/>
    <x v="0"/>
    <x v="5"/>
    <n v="2863"/>
    <n v="858.90000000000009"/>
    <x v="1"/>
    <x v="2"/>
    <s v="Standard"/>
    <x v="2"/>
    <n v="16319.0999999999"/>
  </r>
  <r>
    <s v="ORD10878"/>
    <x v="25"/>
    <x v="4"/>
    <x v="2"/>
    <x v="2"/>
    <x v="4"/>
    <x v="3"/>
    <n v="48001"/>
    <n v="16800.350000000002"/>
    <x v="2"/>
    <x v="1"/>
    <s v="Same Day"/>
    <x v="0"/>
    <n v="319206.64999999898"/>
  </r>
  <r>
    <s v="ORD10879"/>
    <x v="149"/>
    <x v="1"/>
    <x v="1"/>
    <x v="0"/>
    <x v="3"/>
    <x v="6"/>
    <n v="9665"/>
    <n v="1449.75"/>
    <x v="1"/>
    <x v="0"/>
    <s v="Same Day"/>
    <x v="0"/>
    <n v="27545.25"/>
  </r>
  <r>
    <s v="ORD10880"/>
    <x v="113"/>
    <x v="1"/>
    <x v="1"/>
    <x v="2"/>
    <x v="2"/>
    <x v="3"/>
    <n v="3526"/>
    <n v="2468.2000000000003"/>
    <x v="3"/>
    <x v="2"/>
    <s v="Express"/>
    <x v="0"/>
    <n v="22213.8"/>
  </r>
  <r>
    <s v="ORD10881"/>
    <x v="301"/>
    <x v="3"/>
    <x v="0"/>
    <x v="0"/>
    <x v="0"/>
    <x v="3"/>
    <n v="3859"/>
    <n v="0"/>
    <x v="3"/>
    <x v="0"/>
    <s v="Express"/>
    <x v="0"/>
    <n v="27013"/>
  </r>
  <r>
    <s v="ORD10882"/>
    <x v="217"/>
    <x v="4"/>
    <x v="1"/>
    <x v="0"/>
    <x v="4"/>
    <x v="7"/>
    <n v="27794"/>
    <n v="8338.1999999999989"/>
    <x v="2"/>
    <x v="2"/>
    <s v="Express"/>
    <x v="0"/>
    <n v="47249.799999999901"/>
  </r>
  <r>
    <s v="ORD10883"/>
    <x v="327"/>
    <x v="0"/>
    <x v="2"/>
    <x v="1"/>
    <x v="4"/>
    <x v="3"/>
    <n v="4963"/>
    <n v="1737.0500000000002"/>
    <x v="3"/>
    <x v="1"/>
    <s v="Standard"/>
    <x v="2"/>
    <n v="33003.949999999997"/>
  </r>
  <r>
    <s v="ORD10884"/>
    <x v="105"/>
    <x v="4"/>
    <x v="1"/>
    <x v="2"/>
    <x v="1"/>
    <x v="4"/>
    <n v="23321"/>
    <n v="0"/>
    <x v="1"/>
    <x v="0"/>
    <s v="Standard"/>
    <x v="1"/>
    <n v="23321"/>
  </r>
  <r>
    <s v="ORD10885"/>
    <x v="46"/>
    <x v="1"/>
    <x v="1"/>
    <x v="0"/>
    <x v="1"/>
    <x v="2"/>
    <n v="11028"/>
    <n v="11028"/>
    <x v="1"/>
    <x v="0"/>
    <s v="Standard"/>
    <x v="1"/>
    <n v="44112"/>
  </r>
  <r>
    <s v="ORD10886"/>
    <x v="94"/>
    <x v="1"/>
    <x v="0"/>
    <x v="2"/>
    <x v="2"/>
    <x v="0"/>
    <n v="47788"/>
    <n v="21504.600000000002"/>
    <x v="3"/>
    <x v="0"/>
    <s v="Same Day"/>
    <x v="0"/>
    <n v="408587.39999999898"/>
  </r>
  <r>
    <s v="ORD10887"/>
    <x v="316"/>
    <x v="4"/>
    <x v="1"/>
    <x v="2"/>
    <x v="1"/>
    <x v="3"/>
    <n v="11421"/>
    <n v="3997.3500000000004"/>
    <x v="1"/>
    <x v="0"/>
    <s v="Express"/>
    <x v="0"/>
    <n v="75949.649999999994"/>
  </r>
  <r>
    <s v="ORD10888"/>
    <x v="101"/>
    <x v="4"/>
    <x v="1"/>
    <x v="1"/>
    <x v="2"/>
    <x v="3"/>
    <n v="11411"/>
    <n v="11981.55"/>
    <x v="0"/>
    <x v="2"/>
    <s v="Same Day"/>
    <x v="1"/>
    <n v="67895.45"/>
  </r>
  <r>
    <s v="ORD10889"/>
    <x v="196"/>
    <x v="1"/>
    <x v="2"/>
    <x v="2"/>
    <x v="3"/>
    <x v="7"/>
    <n v="13769"/>
    <n v="2753.8"/>
    <x v="0"/>
    <x v="2"/>
    <s v="Standard"/>
    <x v="2"/>
    <n v="24784.2"/>
  </r>
  <r>
    <s v="ORD10890"/>
    <x v="255"/>
    <x v="0"/>
    <x v="0"/>
    <x v="1"/>
    <x v="2"/>
    <x v="8"/>
    <n v="31558"/>
    <n v="25246.400000000001"/>
    <x v="1"/>
    <x v="0"/>
    <s v="Express"/>
    <x v="0"/>
    <n v="227217.6"/>
  </r>
  <r>
    <s v="ORD10891"/>
    <x v="46"/>
    <x v="3"/>
    <x v="0"/>
    <x v="0"/>
    <x v="1"/>
    <x v="6"/>
    <n v="38060"/>
    <n v="5709"/>
    <x v="3"/>
    <x v="2"/>
    <s v="Standard"/>
    <x v="2"/>
    <n v="108471"/>
  </r>
  <r>
    <s v="ORD10892"/>
    <x v="127"/>
    <x v="3"/>
    <x v="0"/>
    <x v="2"/>
    <x v="3"/>
    <x v="8"/>
    <n v="6222"/>
    <n v="0"/>
    <x v="2"/>
    <x v="0"/>
    <s v="Express"/>
    <x v="1"/>
    <n v="49776"/>
  </r>
  <r>
    <s v="ORD10893"/>
    <x v="300"/>
    <x v="4"/>
    <x v="1"/>
    <x v="0"/>
    <x v="1"/>
    <x v="6"/>
    <n v="45537"/>
    <n v="27322.2"/>
    <x v="3"/>
    <x v="0"/>
    <s v="Express"/>
    <x v="1"/>
    <n v="109288.8"/>
  </r>
  <r>
    <s v="ORD10894"/>
    <x v="293"/>
    <x v="3"/>
    <x v="0"/>
    <x v="2"/>
    <x v="2"/>
    <x v="3"/>
    <n v="13715"/>
    <n v="19201"/>
    <x v="2"/>
    <x v="1"/>
    <s v="Same Day"/>
    <x v="0"/>
    <n v="76804"/>
  </r>
  <r>
    <s v="ORD10895"/>
    <x v="328"/>
    <x v="1"/>
    <x v="1"/>
    <x v="0"/>
    <x v="0"/>
    <x v="7"/>
    <n v="6359"/>
    <n v="0"/>
    <x v="3"/>
    <x v="0"/>
    <s v="Same Day"/>
    <x v="2"/>
    <n v="12718"/>
  </r>
  <r>
    <s v="ORD10896"/>
    <x v="324"/>
    <x v="1"/>
    <x v="1"/>
    <x v="2"/>
    <x v="4"/>
    <x v="1"/>
    <n v="46191"/>
    <n v="9238.2000000000007"/>
    <x v="1"/>
    <x v="2"/>
    <s v="Standard"/>
    <x v="0"/>
    <n v="175525.8"/>
  </r>
  <r>
    <s v="ORD10897"/>
    <x v="192"/>
    <x v="4"/>
    <x v="2"/>
    <x v="2"/>
    <x v="1"/>
    <x v="5"/>
    <n v="41413"/>
    <n v="49695.600000000006"/>
    <x v="0"/>
    <x v="0"/>
    <s v="Same Day"/>
    <x v="1"/>
    <n v="198782.4"/>
  </r>
  <r>
    <s v="ORD10898"/>
    <x v="329"/>
    <x v="4"/>
    <x v="2"/>
    <x v="2"/>
    <x v="2"/>
    <x v="0"/>
    <n v="21891"/>
    <n v="19701.900000000001"/>
    <x v="3"/>
    <x v="1"/>
    <s v="Same Day"/>
    <x v="2"/>
    <n v="177317.1"/>
  </r>
  <r>
    <s v="ORD10899"/>
    <x v="248"/>
    <x v="4"/>
    <x v="2"/>
    <x v="2"/>
    <x v="3"/>
    <x v="2"/>
    <n v="25104"/>
    <n v="0"/>
    <x v="2"/>
    <x v="2"/>
    <s v="Same Day"/>
    <x v="0"/>
    <n v="125520"/>
  </r>
  <r>
    <s v="ORD10900"/>
    <x v="43"/>
    <x v="0"/>
    <x v="2"/>
    <x v="2"/>
    <x v="1"/>
    <x v="0"/>
    <n v="43990"/>
    <n v="59386.5"/>
    <x v="0"/>
    <x v="1"/>
    <s v="Express"/>
    <x v="0"/>
    <n v="336523.5"/>
  </r>
  <r>
    <s v="ORD10901"/>
    <x v="19"/>
    <x v="3"/>
    <x v="2"/>
    <x v="2"/>
    <x v="1"/>
    <x v="2"/>
    <n v="3244"/>
    <n v="811"/>
    <x v="2"/>
    <x v="1"/>
    <s v="Same Day"/>
    <x v="0"/>
    <n v="15409"/>
  </r>
  <r>
    <s v="ORD10902"/>
    <x v="106"/>
    <x v="4"/>
    <x v="1"/>
    <x v="2"/>
    <x v="4"/>
    <x v="8"/>
    <n v="9812"/>
    <n v="0"/>
    <x v="1"/>
    <x v="0"/>
    <s v="Standard"/>
    <x v="1"/>
    <n v="78496"/>
  </r>
  <r>
    <s v="ORD10903"/>
    <x v="81"/>
    <x v="2"/>
    <x v="1"/>
    <x v="2"/>
    <x v="2"/>
    <x v="4"/>
    <n v="5836"/>
    <n v="1167.2"/>
    <x v="0"/>
    <x v="1"/>
    <s v="Express"/>
    <x v="0"/>
    <n v="4668.8"/>
  </r>
  <r>
    <s v="ORD10904"/>
    <x v="20"/>
    <x v="2"/>
    <x v="0"/>
    <x v="2"/>
    <x v="0"/>
    <x v="3"/>
    <n v="11793"/>
    <n v="4127.55"/>
    <x v="2"/>
    <x v="1"/>
    <s v="Express"/>
    <x v="2"/>
    <n v="78423.45"/>
  </r>
  <r>
    <s v="ORD10905"/>
    <x v="312"/>
    <x v="1"/>
    <x v="1"/>
    <x v="0"/>
    <x v="3"/>
    <x v="1"/>
    <n v="49147"/>
    <n v="19658.800000000003"/>
    <x v="3"/>
    <x v="2"/>
    <s v="Same Day"/>
    <x v="0"/>
    <n v="176929.2"/>
  </r>
  <r>
    <s v="ORD10906"/>
    <x v="94"/>
    <x v="3"/>
    <x v="1"/>
    <x v="1"/>
    <x v="2"/>
    <x v="2"/>
    <n v="3092"/>
    <n v="773"/>
    <x v="1"/>
    <x v="1"/>
    <s v="Express"/>
    <x v="1"/>
    <n v="14687"/>
  </r>
  <r>
    <s v="ORD10907"/>
    <x v="67"/>
    <x v="4"/>
    <x v="2"/>
    <x v="2"/>
    <x v="3"/>
    <x v="5"/>
    <n v="21872"/>
    <n v="6561.6"/>
    <x v="1"/>
    <x v="0"/>
    <s v="Standard"/>
    <x v="0"/>
    <n v="124670.39999999999"/>
  </r>
  <r>
    <s v="ORD10908"/>
    <x v="173"/>
    <x v="2"/>
    <x v="1"/>
    <x v="1"/>
    <x v="1"/>
    <x v="2"/>
    <n v="6012"/>
    <n v="3006"/>
    <x v="1"/>
    <x v="0"/>
    <s v="Standard"/>
    <x v="1"/>
    <n v="27054"/>
  </r>
  <r>
    <s v="ORD10909"/>
    <x v="219"/>
    <x v="3"/>
    <x v="2"/>
    <x v="2"/>
    <x v="4"/>
    <x v="4"/>
    <n v="31285"/>
    <n v="3128.5"/>
    <x v="3"/>
    <x v="0"/>
    <s v="Express"/>
    <x v="1"/>
    <n v="28156.5"/>
  </r>
  <r>
    <s v="ORD10910"/>
    <x v="93"/>
    <x v="1"/>
    <x v="0"/>
    <x v="2"/>
    <x v="4"/>
    <x v="0"/>
    <n v="854"/>
    <n v="384.3"/>
    <x v="3"/>
    <x v="1"/>
    <s v="Same Day"/>
    <x v="2"/>
    <n v="7301.7"/>
  </r>
  <r>
    <s v="ORD10911"/>
    <x v="129"/>
    <x v="0"/>
    <x v="0"/>
    <x v="0"/>
    <x v="0"/>
    <x v="7"/>
    <n v="17343"/>
    <n v="3468.6000000000004"/>
    <x v="0"/>
    <x v="2"/>
    <s v="Same Day"/>
    <x v="2"/>
    <n v="31217.4"/>
  </r>
  <r>
    <s v="ORD10912"/>
    <x v="156"/>
    <x v="3"/>
    <x v="1"/>
    <x v="0"/>
    <x v="4"/>
    <x v="0"/>
    <n v="1998"/>
    <n v="0"/>
    <x v="3"/>
    <x v="0"/>
    <s v="Express"/>
    <x v="0"/>
    <n v="17982"/>
  </r>
  <r>
    <s v="ORD10913"/>
    <x v="330"/>
    <x v="3"/>
    <x v="0"/>
    <x v="1"/>
    <x v="1"/>
    <x v="7"/>
    <n v="38127"/>
    <n v="7625.4000000000005"/>
    <x v="0"/>
    <x v="1"/>
    <s v="Standard"/>
    <x v="1"/>
    <n v="68628.600000000006"/>
  </r>
  <r>
    <s v="ORD10914"/>
    <x v="285"/>
    <x v="0"/>
    <x v="1"/>
    <x v="0"/>
    <x v="0"/>
    <x v="0"/>
    <n v="29287"/>
    <n v="26358.300000000003"/>
    <x v="1"/>
    <x v="0"/>
    <s v="Express"/>
    <x v="1"/>
    <n v="237224.7"/>
  </r>
  <r>
    <s v="ORD10915"/>
    <x v="241"/>
    <x v="3"/>
    <x v="0"/>
    <x v="0"/>
    <x v="2"/>
    <x v="5"/>
    <n v="11818"/>
    <n v="3545.4"/>
    <x v="0"/>
    <x v="0"/>
    <s v="Same Day"/>
    <x v="2"/>
    <n v="67362.599999999904"/>
  </r>
  <r>
    <s v="ORD10916"/>
    <x v="125"/>
    <x v="1"/>
    <x v="2"/>
    <x v="1"/>
    <x v="4"/>
    <x v="0"/>
    <n v="8646"/>
    <n v="0"/>
    <x v="2"/>
    <x v="2"/>
    <s v="Same Day"/>
    <x v="2"/>
    <n v="77814"/>
  </r>
  <r>
    <s v="ORD10917"/>
    <x v="308"/>
    <x v="1"/>
    <x v="2"/>
    <x v="0"/>
    <x v="0"/>
    <x v="5"/>
    <n v="21846"/>
    <n v="19661.399999999998"/>
    <x v="1"/>
    <x v="0"/>
    <s v="Express"/>
    <x v="0"/>
    <n v="111414.599999999"/>
  </r>
  <r>
    <s v="ORD10918"/>
    <x v="285"/>
    <x v="0"/>
    <x v="2"/>
    <x v="2"/>
    <x v="1"/>
    <x v="5"/>
    <n v="36791"/>
    <n v="33111.9"/>
    <x v="1"/>
    <x v="2"/>
    <s v="Standard"/>
    <x v="1"/>
    <n v="187634.1"/>
  </r>
  <r>
    <s v="ORD10919"/>
    <x v="189"/>
    <x v="4"/>
    <x v="2"/>
    <x v="1"/>
    <x v="3"/>
    <x v="7"/>
    <n v="49067"/>
    <n v="19626.8"/>
    <x v="0"/>
    <x v="1"/>
    <s v="Express"/>
    <x v="2"/>
    <n v="78507.199999999997"/>
  </r>
  <r>
    <s v="ORD10920"/>
    <x v="331"/>
    <x v="2"/>
    <x v="1"/>
    <x v="1"/>
    <x v="3"/>
    <x v="8"/>
    <n v="27400"/>
    <n v="21920"/>
    <x v="1"/>
    <x v="0"/>
    <s v="Standard"/>
    <x v="0"/>
    <n v="197280"/>
  </r>
  <r>
    <s v="ORD10921"/>
    <x v="141"/>
    <x v="4"/>
    <x v="0"/>
    <x v="2"/>
    <x v="1"/>
    <x v="6"/>
    <n v="29771"/>
    <n v="8931.3000000000011"/>
    <x v="3"/>
    <x v="1"/>
    <s v="Standard"/>
    <x v="1"/>
    <n v="80381.7"/>
  </r>
  <r>
    <s v="ORD10922"/>
    <x v="287"/>
    <x v="3"/>
    <x v="1"/>
    <x v="0"/>
    <x v="1"/>
    <x v="3"/>
    <n v="22738"/>
    <n v="0"/>
    <x v="2"/>
    <x v="1"/>
    <s v="Express"/>
    <x v="1"/>
    <n v="159166"/>
  </r>
  <r>
    <s v="ORD10923"/>
    <x v="291"/>
    <x v="2"/>
    <x v="2"/>
    <x v="1"/>
    <x v="3"/>
    <x v="2"/>
    <n v="40755"/>
    <n v="30566.25"/>
    <x v="0"/>
    <x v="1"/>
    <s v="Express"/>
    <x v="2"/>
    <n v="173208.75"/>
  </r>
  <r>
    <s v="ORD10924"/>
    <x v="324"/>
    <x v="0"/>
    <x v="1"/>
    <x v="1"/>
    <x v="0"/>
    <x v="6"/>
    <n v="44164"/>
    <n v="26498.400000000001"/>
    <x v="0"/>
    <x v="0"/>
    <s v="Standard"/>
    <x v="0"/>
    <n v="105993.60000000001"/>
  </r>
  <r>
    <s v="ORD10925"/>
    <x v="307"/>
    <x v="0"/>
    <x v="0"/>
    <x v="2"/>
    <x v="3"/>
    <x v="4"/>
    <n v="21100"/>
    <n v="0"/>
    <x v="1"/>
    <x v="2"/>
    <s v="Standard"/>
    <x v="2"/>
    <n v="21100"/>
  </r>
  <r>
    <s v="ORD10926"/>
    <x v="324"/>
    <x v="2"/>
    <x v="1"/>
    <x v="2"/>
    <x v="1"/>
    <x v="8"/>
    <n v="22556"/>
    <n v="18044.8"/>
    <x v="3"/>
    <x v="0"/>
    <s v="Standard"/>
    <x v="0"/>
    <n v="162403.20000000001"/>
  </r>
  <r>
    <s v="ORD10927"/>
    <x v="318"/>
    <x v="1"/>
    <x v="0"/>
    <x v="0"/>
    <x v="4"/>
    <x v="6"/>
    <n v="23223"/>
    <n v="10450.35"/>
    <x v="1"/>
    <x v="1"/>
    <s v="Standard"/>
    <x v="1"/>
    <n v="59218.65"/>
  </r>
  <r>
    <s v="ORD10928"/>
    <x v="324"/>
    <x v="2"/>
    <x v="1"/>
    <x v="1"/>
    <x v="2"/>
    <x v="7"/>
    <n v="39348"/>
    <n v="15739.2"/>
    <x v="1"/>
    <x v="2"/>
    <s v="Same Day"/>
    <x v="0"/>
    <n v="62956.800000000003"/>
  </r>
  <r>
    <s v="ORD10929"/>
    <x v="53"/>
    <x v="3"/>
    <x v="0"/>
    <x v="0"/>
    <x v="4"/>
    <x v="4"/>
    <n v="17592"/>
    <n v="879.6"/>
    <x v="0"/>
    <x v="1"/>
    <s v="Express"/>
    <x v="0"/>
    <n v="16712.3999999999"/>
  </r>
  <r>
    <s v="ORD10930"/>
    <x v="26"/>
    <x v="1"/>
    <x v="0"/>
    <x v="0"/>
    <x v="4"/>
    <x v="1"/>
    <n v="20898"/>
    <n v="12538.8"/>
    <x v="1"/>
    <x v="2"/>
    <s v="Standard"/>
    <x v="0"/>
    <n v="71053.2"/>
  </r>
  <r>
    <s v="ORD10931"/>
    <x v="314"/>
    <x v="0"/>
    <x v="2"/>
    <x v="2"/>
    <x v="1"/>
    <x v="8"/>
    <n v="42670"/>
    <n v="68272"/>
    <x v="2"/>
    <x v="0"/>
    <s v="Express"/>
    <x v="0"/>
    <n v="273088"/>
  </r>
  <r>
    <s v="ORD10932"/>
    <x v="114"/>
    <x v="2"/>
    <x v="0"/>
    <x v="1"/>
    <x v="3"/>
    <x v="6"/>
    <n v="26735"/>
    <n v="0"/>
    <x v="1"/>
    <x v="2"/>
    <s v="Standard"/>
    <x v="0"/>
    <n v="80205"/>
  </r>
  <r>
    <s v="ORD10933"/>
    <x v="107"/>
    <x v="4"/>
    <x v="2"/>
    <x v="1"/>
    <x v="0"/>
    <x v="4"/>
    <n v="35650"/>
    <n v="1782.5"/>
    <x v="1"/>
    <x v="0"/>
    <s v="Express"/>
    <x v="2"/>
    <n v="33867.5"/>
  </r>
  <r>
    <s v="ORD10934"/>
    <x v="203"/>
    <x v="4"/>
    <x v="2"/>
    <x v="1"/>
    <x v="4"/>
    <x v="1"/>
    <n v="33957"/>
    <n v="27165.600000000002"/>
    <x v="0"/>
    <x v="1"/>
    <s v="Express"/>
    <x v="0"/>
    <n v="108662.39999999999"/>
  </r>
  <r>
    <s v="ORD10935"/>
    <x v="149"/>
    <x v="3"/>
    <x v="2"/>
    <x v="2"/>
    <x v="3"/>
    <x v="0"/>
    <n v="12676"/>
    <n v="22816.800000000003"/>
    <x v="1"/>
    <x v="2"/>
    <s v="Standard"/>
    <x v="0"/>
    <n v="91267.199999999997"/>
  </r>
  <r>
    <s v="ORD10936"/>
    <x v="313"/>
    <x v="4"/>
    <x v="1"/>
    <x v="2"/>
    <x v="0"/>
    <x v="4"/>
    <n v="41414"/>
    <n v="4141.4000000000005"/>
    <x v="3"/>
    <x v="1"/>
    <s v="Standard"/>
    <x v="1"/>
    <n v="37272.6"/>
  </r>
  <r>
    <s v="ORD10937"/>
    <x v="38"/>
    <x v="2"/>
    <x v="1"/>
    <x v="2"/>
    <x v="4"/>
    <x v="7"/>
    <n v="4911"/>
    <n v="1473.3"/>
    <x v="0"/>
    <x v="2"/>
    <s v="Express"/>
    <x v="0"/>
    <n v="8348.6999999999898"/>
  </r>
  <r>
    <s v="ORD10938"/>
    <x v="198"/>
    <x v="2"/>
    <x v="1"/>
    <x v="2"/>
    <x v="0"/>
    <x v="0"/>
    <n v="6679"/>
    <n v="6011.1"/>
    <x v="1"/>
    <x v="0"/>
    <s v="Express"/>
    <x v="1"/>
    <n v="54099.9"/>
  </r>
  <r>
    <s v="ORD10939"/>
    <x v="148"/>
    <x v="4"/>
    <x v="1"/>
    <x v="2"/>
    <x v="3"/>
    <x v="7"/>
    <n v="31590"/>
    <n v="3159"/>
    <x v="2"/>
    <x v="2"/>
    <s v="Express"/>
    <x v="2"/>
    <n v="60021"/>
  </r>
  <r>
    <s v="ORD10940"/>
    <x v="196"/>
    <x v="2"/>
    <x v="0"/>
    <x v="1"/>
    <x v="2"/>
    <x v="6"/>
    <n v="13361"/>
    <n v="8016.6"/>
    <x v="2"/>
    <x v="2"/>
    <s v="Same Day"/>
    <x v="2"/>
    <n v="32066.400000000001"/>
  </r>
  <r>
    <s v="ORD10941"/>
    <x v="244"/>
    <x v="3"/>
    <x v="0"/>
    <x v="0"/>
    <x v="3"/>
    <x v="3"/>
    <n v="32352"/>
    <n v="22646.400000000001"/>
    <x v="0"/>
    <x v="0"/>
    <s v="Standard"/>
    <x v="0"/>
    <n v="203817.60000000001"/>
  </r>
  <r>
    <s v="ORD10942"/>
    <x v="91"/>
    <x v="1"/>
    <x v="1"/>
    <x v="1"/>
    <x v="1"/>
    <x v="6"/>
    <n v="14835"/>
    <n v="6675.75"/>
    <x v="0"/>
    <x v="0"/>
    <s v="Same Day"/>
    <x v="2"/>
    <n v="37829.25"/>
  </r>
  <r>
    <s v="ORD10943"/>
    <x v="15"/>
    <x v="3"/>
    <x v="0"/>
    <x v="0"/>
    <x v="0"/>
    <x v="0"/>
    <n v="41043"/>
    <n v="18469.350000000002"/>
    <x v="1"/>
    <x v="0"/>
    <s v="Same Day"/>
    <x v="0"/>
    <n v="350917.64999999898"/>
  </r>
  <r>
    <s v="ORD10944"/>
    <x v="21"/>
    <x v="3"/>
    <x v="0"/>
    <x v="2"/>
    <x v="2"/>
    <x v="5"/>
    <n v="30497"/>
    <n v="0"/>
    <x v="3"/>
    <x v="2"/>
    <s v="Standard"/>
    <x v="2"/>
    <n v="182982"/>
  </r>
  <r>
    <s v="ORD10945"/>
    <x v="143"/>
    <x v="2"/>
    <x v="2"/>
    <x v="0"/>
    <x v="0"/>
    <x v="6"/>
    <n v="21036"/>
    <n v="6310.8"/>
    <x v="1"/>
    <x v="1"/>
    <s v="Standard"/>
    <x v="0"/>
    <n v="56797.2"/>
  </r>
  <r>
    <s v="ORD10946"/>
    <x v="297"/>
    <x v="1"/>
    <x v="2"/>
    <x v="1"/>
    <x v="0"/>
    <x v="0"/>
    <n v="25031"/>
    <n v="11263.95"/>
    <x v="2"/>
    <x v="2"/>
    <s v="Same Day"/>
    <x v="0"/>
    <n v="214015.05"/>
  </r>
  <r>
    <s v="ORD10947"/>
    <x v="178"/>
    <x v="2"/>
    <x v="2"/>
    <x v="1"/>
    <x v="4"/>
    <x v="4"/>
    <n v="1207"/>
    <n v="0"/>
    <x v="3"/>
    <x v="2"/>
    <s v="Standard"/>
    <x v="1"/>
    <n v="1207"/>
  </r>
  <r>
    <s v="ORD10948"/>
    <x v="200"/>
    <x v="0"/>
    <x v="2"/>
    <x v="0"/>
    <x v="1"/>
    <x v="6"/>
    <n v="26531"/>
    <n v="7959.3"/>
    <x v="3"/>
    <x v="1"/>
    <s v="Express"/>
    <x v="1"/>
    <n v="71633.7"/>
  </r>
  <r>
    <s v="ORD10949"/>
    <x v="237"/>
    <x v="2"/>
    <x v="0"/>
    <x v="2"/>
    <x v="0"/>
    <x v="4"/>
    <n v="40656"/>
    <n v="2032.8000000000002"/>
    <x v="3"/>
    <x v="0"/>
    <s v="Express"/>
    <x v="1"/>
    <n v="38623.199999999997"/>
  </r>
  <r>
    <s v="ORD10950"/>
    <x v="9"/>
    <x v="2"/>
    <x v="1"/>
    <x v="2"/>
    <x v="3"/>
    <x v="7"/>
    <n v="10963"/>
    <n v="1096.3"/>
    <x v="1"/>
    <x v="2"/>
    <s v="Same Day"/>
    <x v="1"/>
    <n v="20829.7"/>
  </r>
  <r>
    <s v="ORD10951"/>
    <x v="145"/>
    <x v="2"/>
    <x v="0"/>
    <x v="1"/>
    <x v="3"/>
    <x v="8"/>
    <n v="4108"/>
    <n v="3286.4"/>
    <x v="2"/>
    <x v="1"/>
    <s v="Same Day"/>
    <x v="0"/>
    <n v="29577.599999999999"/>
  </r>
  <r>
    <s v="ORD10952"/>
    <x v="237"/>
    <x v="1"/>
    <x v="0"/>
    <x v="0"/>
    <x v="4"/>
    <x v="3"/>
    <n v="27773"/>
    <n v="9720.5500000000011"/>
    <x v="0"/>
    <x v="0"/>
    <s v="Standard"/>
    <x v="2"/>
    <n v="184690.44999999899"/>
  </r>
  <r>
    <s v="ORD10953"/>
    <x v="206"/>
    <x v="2"/>
    <x v="0"/>
    <x v="2"/>
    <x v="1"/>
    <x v="7"/>
    <n v="19387"/>
    <n v="7754.8"/>
    <x v="1"/>
    <x v="0"/>
    <s v="Standard"/>
    <x v="0"/>
    <n v="31019.200000000001"/>
  </r>
  <r>
    <s v="ORD10954"/>
    <x v="13"/>
    <x v="1"/>
    <x v="2"/>
    <x v="2"/>
    <x v="1"/>
    <x v="7"/>
    <n v="12157"/>
    <n v="2431.4"/>
    <x v="0"/>
    <x v="2"/>
    <s v="Same Day"/>
    <x v="1"/>
    <n v="21882.6"/>
  </r>
  <r>
    <s v="ORD10955"/>
    <x v="239"/>
    <x v="4"/>
    <x v="2"/>
    <x v="1"/>
    <x v="3"/>
    <x v="0"/>
    <n v="4579"/>
    <n v="2060.5500000000002"/>
    <x v="3"/>
    <x v="0"/>
    <s v="Same Day"/>
    <x v="1"/>
    <n v="39150.449999999997"/>
  </r>
  <r>
    <s v="ORD10956"/>
    <x v="144"/>
    <x v="0"/>
    <x v="2"/>
    <x v="2"/>
    <x v="2"/>
    <x v="5"/>
    <n v="28159"/>
    <n v="0"/>
    <x v="3"/>
    <x v="0"/>
    <s v="Express"/>
    <x v="2"/>
    <n v="168954"/>
  </r>
  <r>
    <s v="ORD10957"/>
    <x v="157"/>
    <x v="1"/>
    <x v="1"/>
    <x v="0"/>
    <x v="4"/>
    <x v="2"/>
    <n v="16682"/>
    <n v="0"/>
    <x v="1"/>
    <x v="1"/>
    <s v="Express"/>
    <x v="1"/>
    <n v="83410"/>
  </r>
  <r>
    <s v="ORD10958"/>
    <x v="128"/>
    <x v="4"/>
    <x v="0"/>
    <x v="1"/>
    <x v="4"/>
    <x v="5"/>
    <n v="27305"/>
    <n v="32766"/>
    <x v="2"/>
    <x v="1"/>
    <s v="Standard"/>
    <x v="0"/>
    <n v="131064"/>
  </r>
  <r>
    <s v="ORD10959"/>
    <x v="332"/>
    <x v="1"/>
    <x v="1"/>
    <x v="1"/>
    <x v="3"/>
    <x v="0"/>
    <n v="1077"/>
    <n v="969.30000000000007"/>
    <x v="3"/>
    <x v="0"/>
    <s v="Express"/>
    <x v="0"/>
    <n v="8723.7000000000007"/>
  </r>
  <r>
    <s v="ORD10960"/>
    <x v="333"/>
    <x v="1"/>
    <x v="2"/>
    <x v="0"/>
    <x v="3"/>
    <x v="3"/>
    <n v="48553"/>
    <n v="16993.55"/>
    <x v="0"/>
    <x v="1"/>
    <s v="Standard"/>
    <x v="0"/>
    <n v="322877.45"/>
  </r>
  <r>
    <s v="ORD10961"/>
    <x v="244"/>
    <x v="0"/>
    <x v="1"/>
    <x v="1"/>
    <x v="2"/>
    <x v="0"/>
    <n v="18452"/>
    <n v="8303.4"/>
    <x v="0"/>
    <x v="0"/>
    <s v="Standard"/>
    <x v="0"/>
    <n v="157764.6"/>
  </r>
  <r>
    <s v="ORD10962"/>
    <x v="124"/>
    <x v="3"/>
    <x v="0"/>
    <x v="2"/>
    <x v="2"/>
    <x v="1"/>
    <n v="31534"/>
    <n v="0"/>
    <x v="1"/>
    <x v="2"/>
    <s v="Standard"/>
    <x v="0"/>
    <n v="126136"/>
  </r>
  <r>
    <s v="ORD10963"/>
    <x v="211"/>
    <x v="3"/>
    <x v="0"/>
    <x v="2"/>
    <x v="1"/>
    <x v="7"/>
    <n v="19249"/>
    <n v="7699.6"/>
    <x v="0"/>
    <x v="1"/>
    <s v="Express"/>
    <x v="2"/>
    <n v="30798.400000000001"/>
  </r>
  <r>
    <s v="ORD10964"/>
    <x v="203"/>
    <x v="1"/>
    <x v="2"/>
    <x v="0"/>
    <x v="4"/>
    <x v="8"/>
    <n v="17972"/>
    <n v="0"/>
    <x v="2"/>
    <x v="0"/>
    <s v="Same Day"/>
    <x v="0"/>
    <n v="143776"/>
  </r>
  <r>
    <s v="ORD10965"/>
    <x v="231"/>
    <x v="2"/>
    <x v="2"/>
    <x v="2"/>
    <x v="4"/>
    <x v="1"/>
    <n v="2837"/>
    <n v="0"/>
    <x v="3"/>
    <x v="0"/>
    <s v="Same Day"/>
    <x v="1"/>
    <n v="11348"/>
  </r>
  <r>
    <s v="ORD10966"/>
    <x v="153"/>
    <x v="4"/>
    <x v="1"/>
    <x v="0"/>
    <x v="3"/>
    <x v="0"/>
    <n v="7442"/>
    <n v="13395.6"/>
    <x v="0"/>
    <x v="1"/>
    <s v="Express"/>
    <x v="1"/>
    <n v="53582.400000000001"/>
  </r>
  <r>
    <s v="ORD10967"/>
    <x v="184"/>
    <x v="2"/>
    <x v="2"/>
    <x v="0"/>
    <x v="1"/>
    <x v="1"/>
    <n v="42225"/>
    <n v="16890"/>
    <x v="0"/>
    <x v="1"/>
    <s v="Same Day"/>
    <x v="1"/>
    <n v="152010"/>
  </r>
  <r>
    <s v="ORD10968"/>
    <x v="200"/>
    <x v="2"/>
    <x v="2"/>
    <x v="2"/>
    <x v="4"/>
    <x v="8"/>
    <n v="41581"/>
    <n v="16632.400000000001"/>
    <x v="3"/>
    <x v="2"/>
    <s v="Standard"/>
    <x v="1"/>
    <n v="316015.59999999998"/>
  </r>
  <r>
    <s v="ORD10969"/>
    <x v="319"/>
    <x v="1"/>
    <x v="0"/>
    <x v="0"/>
    <x v="1"/>
    <x v="0"/>
    <n v="35851"/>
    <n v="32265.9"/>
    <x v="1"/>
    <x v="0"/>
    <s v="Same Day"/>
    <x v="2"/>
    <n v="290393.09999999998"/>
  </r>
  <r>
    <s v="ORD10970"/>
    <x v="133"/>
    <x v="1"/>
    <x v="2"/>
    <x v="2"/>
    <x v="1"/>
    <x v="0"/>
    <n v="34172"/>
    <n v="46132.2"/>
    <x v="0"/>
    <x v="2"/>
    <s v="Express"/>
    <x v="1"/>
    <n v="261415.8"/>
  </r>
  <r>
    <s v="ORD10971"/>
    <x v="250"/>
    <x v="1"/>
    <x v="2"/>
    <x v="1"/>
    <x v="3"/>
    <x v="1"/>
    <n v="17128"/>
    <n v="10276.799999999999"/>
    <x v="1"/>
    <x v="2"/>
    <s v="Same Day"/>
    <x v="2"/>
    <n v="58235.199999999997"/>
  </r>
  <r>
    <s v="ORD10972"/>
    <x v="258"/>
    <x v="1"/>
    <x v="0"/>
    <x v="1"/>
    <x v="1"/>
    <x v="4"/>
    <n v="28942"/>
    <n v="4341.3"/>
    <x v="1"/>
    <x v="2"/>
    <s v="Standard"/>
    <x v="1"/>
    <n v="24600.7"/>
  </r>
  <r>
    <s v="ORD10973"/>
    <x v="100"/>
    <x v="3"/>
    <x v="0"/>
    <x v="0"/>
    <x v="2"/>
    <x v="6"/>
    <n v="12031"/>
    <n v="7218.6"/>
    <x v="0"/>
    <x v="1"/>
    <s v="Standard"/>
    <x v="2"/>
    <n v="28874.400000000001"/>
  </r>
  <r>
    <s v="ORD10974"/>
    <x v="187"/>
    <x v="1"/>
    <x v="1"/>
    <x v="2"/>
    <x v="2"/>
    <x v="0"/>
    <n v="48432"/>
    <n v="0"/>
    <x v="2"/>
    <x v="2"/>
    <s v="Express"/>
    <x v="2"/>
    <n v="435888"/>
  </r>
  <r>
    <s v="ORD10975"/>
    <x v="319"/>
    <x v="3"/>
    <x v="2"/>
    <x v="2"/>
    <x v="0"/>
    <x v="1"/>
    <n v="19756"/>
    <n v="7902.4000000000005"/>
    <x v="1"/>
    <x v="1"/>
    <s v="Express"/>
    <x v="2"/>
    <n v="71121.600000000006"/>
  </r>
  <r>
    <s v="ORD10976"/>
    <x v="159"/>
    <x v="3"/>
    <x v="0"/>
    <x v="1"/>
    <x v="3"/>
    <x v="2"/>
    <n v="25543"/>
    <n v="6385.75"/>
    <x v="0"/>
    <x v="1"/>
    <s v="Express"/>
    <x v="1"/>
    <n v="121329.25"/>
  </r>
  <r>
    <s v="ORD10977"/>
    <x v="222"/>
    <x v="1"/>
    <x v="1"/>
    <x v="1"/>
    <x v="0"/>
    <x v="3"/>
    <n v="23034"/>
    <n v="24185.7"/>
    <x v="1"/>
    <x v="2"/>
    <s v="Standard"/>
    <x v="2"/>
    <n v="137052.29999999999"/>
  </r>
  <r>
    <s v="ORD10978"/>
    <x v="226"/>
    <x v="0"/>
    <x v="1"/>
    <x v="2"/>
    <x v="2"/>
    <x v="2"/>
    <n v="46962"/>
    <n v="23481"/>
    <x v="3"/>
    <x v="2"/>
    <s v="Same Day"/>
    <x v="0"/>
    <n v="211329"/>
  </r>
  <r>
    <s v="ORD10979"/>
    <x v="330"/>
    <x v="4"/>
    <x v="2"/>
    <x v="0"/>
    <x v="0"/>
    <x v="1"/>
    <n v="39488"/>
    <n v="23692.799999999999"/>
    <x v="2"/>
    <x v="0"/>
    <s v="Same Day"/>
    <x v="0"/>
    <n v="134259.19999999899"/>
  </r>
  <r>
    <s v="ORD10980"/>
    <x v="288"/>
    <x v="2"/>
    <x v="2"/>
    <x v="1"/>
    <x v="3"/>
    <x v="7"/>
    <n v="33622"/>
    <n v="10086.6"/>
    <x v="2"/>
    <x v="2"/>
    <s v="Express"/>
    <x v="1"/>
    <n v="57157.4"/>
  </r>
  <r>
    <s v="ORD10981"/>
    <x v="168"/>
    <x v="3"/>
    <x v="1"/>
    <x v="0"/>
    <x v="3"/>
    <x v="7"/>
    <n v="23405"/>
    <n v="2340.5"/>
    <x v="3"/>
    <x v="0"/>
    <s v="Same Day"/>
    <x v="0"/>
    <n v="44469.5"/>
  </r>
  <r>
    <s v="ORD10982"/>
    <x v="250"/>
    <x v="4"/>
    <x v="0"/>
    <x v="0"/>
    <x v="1"/>
    <x v="1"/>
    <n v="19030"/>
    <n v="15224"/>
    <x v="3"/>
    <x v="2"/>
    <s v="Same Day"/>
    <x v="0"/>
    <n v="60896"/>
  </r>
  <r>
    <s v="ORD10983"/>
    <x v="158"/>
    <x v="0"/>
    <x v="1"/>
    <x v="1"/>
    <x v="4"/>
    <x v="0"/>
    <n v="8612"/>
    <n v="0"/>
    <x v="1"/>
    <x v="2"/>
    <s v="Express"/>
    <x v="0"/>
    <n v="77508"/>
  </r>
  <r>
    <s v="ORD10984"/>
    <x v="243"/>
    <x v="2"/>
    <x v="2"/>
    <x v="0"/>
    <x v="1"/>
    <x v="8"/>
    <n v="3866"/>
    <n v="6185.6"/>
    <x v="3"/>
    <x v="2"/>
    <s v="Express"/>
    <x v="1"/>
    <n v="24742.400000000001"/>
  </r>
  <r>
    <s v="ORD10985"/>
    <x v="308"/>
    <x v="2"/>
    <x v="0"/>
    <x v="0"/>
    <x v="3"/>
    <x v="6"/>
    <n v="37245"/>
    <n v="11173.5"/>
    <x v="2"/>
    <x v="2"/>
    <s v="Standard"/>
    <x v="1"/>
    <n v="100561.5"/>
  </r>
  <r>
    <s v="ORD10986"/>
    <x v="138"/>
    <x v="3"/>
    <x v="0"/>
    <x v="2"/>
    <x v="2"/>
    <x v="0"/>
    <n v="20986"/>
    <n v="37774.800000000003"/>
    <x v="3"/>
    <x v="0"/>
    <s v="Standard"/>
    <x v="0"/>
    <n v="151099.20000000001"/>
  </r>
  <r>
    <s v="ORD10987"/>
    <x v="227"/>
    <x v="1"/>
    <x v="1"/>
    <x v="0"/>
    <x v="2"/>
    <x v="2"/>
    <n v="5715"/>
    <n v="2857.5"/>
    <x v="0"/>
    <x v="0"/>
    <s v="Standard"/>
    <x v="1"/>
    <n v="25717.5"/>
  </r>
  <r>
    <s v="ORD10988"/>
    <x v="150"/>
    <x v="0"/>
    <x v="2"/>
    <x v="2"/>
    <x v="1"/>
    <x v="6"/>
    <n v="42173"/>
    <n v="12651.900000000001"/>
    <x v="0"/>
    <x v="2"/>
    <s v="Standard"/>
    <x v="2"/>
    <n v="113867.1"/>
  </r>
  <r>
    <s v="ORD10989"/>
    <x v="181"/>
    <x v="3"/>
    <x v="1"/>
    <x v="1"/>
    <x v="3"/>
    <x v="2"/>
    <n v="26827"/>
    <n v="0"/>
    <x v="1"/>
    <x v="2"/>
    <s v="Same Day"/>
    <x v="0"/>
    <n v="134135"/>
  </r>
  <r>
    <s v="ORD10990"/>
    <x v="238"/>
    <x v="0"/>
    <x v="1"/>
    <x v="1"/>
    <x v="2"/>
    <x v="1"/>
    <n v="15398"/>
    <n v="3079.6000000000004"/>
    <x v="2"/>
    <x v="0"/>
    <s v="Same Day"/>
    <x v="1"/>
    <n v="58512.3999999999"/>
  </r>
  <r>
    <s v="ORD10991"/>
    <x v="247"/>
    <x v="1"/>
    <x v="1"/>
    <x v="2"/>
    <x v="3"/>
    <x v="8"/>
    <n v="4185"/>
    <n v="0"/>
    <x v="0"/>
    <x v="1"/>
    <s v="Standard"/>
    <x v="1"/>
    <n v="33480"/>
  </r>
  <r>
    <s v="ORD10992"/>
    <x v="273"/>
    <x v="1"/>
    <x v="0"/>
    <x v="1"/>
    <x v="2"/>
    <x v="2"/>
    <n v="46103"/>
    <n v="46103"/>
    <x v="3"/>
    <x v="1"/>
    <s v="Standard"/>
    <x v="0"/>
    <n v="184412"/>
  </r>
  <r>
    <s v="ORD10993"/>
    <x v="229"/>
    <x v="3"/>
    <x v="0"/>
    <x v="0"/>
    <x v="3"/>
    <x v="8"/>
    <n v="41135"/>
    <n v="32908"/>
    <x v="0"/>
    <x v="1"/>
    <s v="Express"/>
    <x v="1"/>
    <n v="296172"/>
  </r>
  <r>
    <s v="ORD10994"/>
    <x v="38"/>
    <x v="1"/>
    <x v="2"/>
    <x v="0"/>
    <x v="0"/>
    <x v="0"/>
    <n v="29675"/>
    <n v="40061.25"/>
    <x v="0"/>
    <x v="0"/>
    <s v="Same Day"/>
    <x v="0"/>
    <n v="227013.75"/>
  </r>
  <r>
    <s v="ORD10995"/>
    <x v="194"/>
    <x v="4"/>
    <x v="2"/>
    <x v="0"/>
    <x v="3"/>
    <x v="1"/>
    <n v="40416"/>
    <n v="24249.599999999999"/>
    <x v="1"/>
    <x v="0"/>
    <s v="Same Day"/>
    <x v="1"/>
    <n v="137414.39999999999"/>
  </r>
  <r>
    <s v="ORD10996"/>
    <x v="102"/>
    <x v="2"/>
    <x v="1"/>
    <x v="1"/>
    <x v="3"/>
    <x v="3"/>
    <n v="19603"/>
    <n v="13722.1"/>
    <x v="3"/>
    <x v="1"/>
    <s v="Standard"/>
    <x v="2"/>
    <n v="123498.9"/>
  </r>
  <r>
    <s v="ORD10997"/>
    <x v="89"/>
    <x v="3"/>
    <x v="1"/>
    <x v="0"/>
    <x v="1"/>
    <x v="7"/>
    <n v="3881"/>
    <n v="0"/>
    <x v="3"/>
    <x v="1"/>
    <s v="Same Day"/>
    <x v="0"/>
    <n v="7762"/>
  </r>
  <r>
    <s v="ORD10998"/>
    <x v="334"/>
    <x v="0"/>
    <x v="1"/>
    <x v="1"/>
    <x v="0"/>
    <x v="5"/>
    <n v="26219"/>
    <n v="7865.7000000000007"/>
    <x v="3"/>
    <x v="2"/>
    <s v="Express"/>
    <x v="2"/>
    <n v="149448.29999999999"/>
  </r>
  <r>
    <s v="ORD10999"/>
    <x v="335"/>
    <x v="4"/>
    <x v="2"/>
    <x v="0"/>
    <x v="4"/>
    <x v="8"/>
    <n v="27786"/>
    <n v="0"/>
    <x v="1"/>
    <x v="0"/>
    <s v="Express"/>
    <x v="0"/>
    <n v="222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DA864-6590-4541-B642-D04DD599696C}" name="PivotTable10"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0:B52" firstHeaderRow="1" firstDataRow="1" firstDataCol="1"/>
  <pivotFields count="16">
    <pivotField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showAll="0" defaultSubtotal="0">
      <items count="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3">
        <item x="1"/>
        <item x="2"/>
        <item x="0"/>
      </items>
    </pivotField>
    <pivotField dataField="1"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12">
    <i>
      <x v="1"/>
    </i>
    <i>
      <x v="2"/>
    </i>
    <i>
      <x v="3"/>
    </i>
    <i>
      <x v="4"/>
    </i>
    <i>
      <x v="5"/>
    </i>
    <i>
      <x v="6"/>
    </i>
    <i>
      <x v="7"/>
    </i>
    <i>
      <x v="8"/>
    </i>
    <i>
      <x v="9"/>
    </i>
    <i>
      <x v="10"/>
    </i>
    <i>
      <x v="11"/>
    </i>
    <i>
      <x v="12"/>
    </i>
  </rowItems>
  <colItems count="1">
    <i/>
  </colItems>
  <dataFields count="1">
    <dataField name="Sum of Total Price" fld="13" baseField="0" baseItem="0" numFmtId="165"/>
  </dataFields>
  <formats count="1">
    <format dxfId="2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630D5-54A8-4715-81EF-56A18618E3F0}" name="PivotTable7"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1:B37" firstHeaderRow="1" firstDataRow="2" firstDataCol="1"/>
  <pivotFields count="16">
    <pivotField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showAll="0" defaultSubtotal="0">
      <items count="3">
        <item x="1"/>
        <item x="0"/>
        <item x="2"/>
      </items>
    </pivotField>
    <pivotField axis="axisRow" showAll="0" defaultSubtotal="0">
      <items count="5">
        <item x="2"/>
        <item x="1"/>
        <item x="4"/>
        <item x="3"/>
        <item x="0"/>
      </items>
    </pivotField>
    <pivotField showAll="0" defaultSubtotal="0">
      <items count="9">
        <item x="4"/>
        <item x="7"/>
        <item x="6"/>
        <item x="1"/>
        <item x="2"/>
        <item x="5"/>
        <item x="3"/>
        <item x="8"/>
        <item x="0"/>
      </items>
    </pivotField>
    <pivotField showAll="0" defaultSubtotal="0"/>
    <pivotField showAll="0" defaultSubtotal="0"/>
    <pivotField showAll="0" defaultSubtotal="0"/>
    <pivotField showAll="0" defaultSubtotal="0"/>
    <pivotField showAll="0" defaultSubtotal="0"/>
    <pivotField axis="axisCol" dataField="1" showAll="0" defaultSubtotal="0">
      <items count="3">
        <item h="1" x="1"/>
        <item h="1" x="2"/>
        <item x="0"/>
      </items>
    </pivotField>
    <pivotField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5"/>
  </rowFields>
  <rowItems count="5">
    <i>
      <x/>
    </i>
    <i>
      <x v="1"/>
    </i>
    <i>
      <x v="2"/>
    </i>
    <i>
      <x v="3"/>
    </i>
    <i>
      <x v="4"/>
    </i>
  </rowItems>
  <colFields count="1">
    <field x="12"/>
  </colFields>
  <colItems count="1">
    <i>
      <x v="2"/>
    </i>
  </colItems>
  <dataFields count="1">
    <dataField name="Count of Delivery Status" fld="12" subtotal="count" baseField="0" baseItem="0"/>
  </dataFields>
  <chartFormats count="3">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DE79FB-B451-44E0-970C-6E5336D9E05A}" name="PivotTable4"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4:B28" firstHeaderRow="1" firstDataRow="1" firstDataCol="1"/>
  <pivotFields count="16">
    <pivotField dataField="1"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showAll="0" defaultSubtotal="0">
      <items count="3">
        <item x="1"/>
        <item x="0"/>
        <item x="2"/>
      </items>
    </pivotField>
    <pivotField showAll="0" defaultSubtotal="0"/>
    <pivotField showAll="0" defaultSubtotal="0"/>
    <pivotField showAll="0" defaultSubtotal="0"/>
    <pivotField showAll="0" defaultSubtotal="0"/>
    <pivotField axis="axisRow" showAll="0" defaultSubtotal="0">
      <items count="4">
        <item x="1"/>
        <item x="0"/>
        <item x="3"/>
        <item x="2"/>
      </items>
    </pivotField>
    <pivotField showAll="0" defaultSubtotal="0"/>
    <pivotField showAll="0" defaultSubtotal="0"/>
    <pivotField showAll="0" defaultSubtotal="0">
      <items count="3">
        <item x="1"/>
        <item x="2"/>
        <item x="0"/>
      </items>
    </pivotField>
    <pivotField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9"/>
  </rowFields>
  <rowItems count="4">
    <i>
      <x/>
    </i>
    <i>
      <x v="1"/>
    </i>
    <i>
      <x v="2"/>
    </i>
    <i>
      <x v="3"/>
    </i>
  </rowItems>
  <colItems count="1">
    <i/>
  </colItems>
  <dataFields count="1">
    <dataField name="Count of Order ID" fld="0"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C7EDC-A2D2-4251-B773-5191847E4CEE}" name="PivotTable3"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7:B20" firstHeaderRow="1" firstDataRow="1" firstDataCol="1"/>
  <pivotFields count="16">
    <pivotField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showAll="0" defaultSubtotal="0">
      <items count="3">
        <item x="1"/>
        <item x="0"/>
        <item x="2"/>
      </items>
    </pivotField>
    <pivotField showAll="0" defaultSubtotal="0"/>
    <pivotField showAll="0" defaultSubtotal="0"/>
    <pivotField showAll="0" defaultSubtotal="0"/>
    <pivotField showAll="0" defaultSubtotal="0"/>
    <pivotField showAll="0" defaultSubtotal="0"/>
    <pivotField axis="axisRow" showAll="0" defaultSubtotal="0">
      <items count="3">
        <item x="1"/>
        <item x="2"/>
        <item x="0"/>
      </items>
    </pivotField>
    <pivotField showAll="0" defaultSubtotal="0"/>
    <pivotField showAll="0" defaultSubtotal="0">
      <items count="3">
        <item x="1"/>
        <item x="2"/>
        <item x="0"/>
      </items>
    </pivotField>
    <pivotField dataField="1"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0"/>
  </rowFields>
  <rowItems count="3">
    <i>
      <x/>
    </i>
    <i>
      <x v="1"/>
    </i>
    <i>
      <x v="2"/>
    </i>
  </rowItems>
  <colItems count="1">
    <i/>
  </colItems>
  <dataFields count="1">
    <dataField name="Sum of Total Price" fld="13" showDataAs="percentOfTotal" baseField="0" baseItem="0" numFmtId="10"/>
  </dataFields>
  <formats count="2">
    <format dxfId="23">
      <pivotArea outline="0" collapsedLevelsAreSubtotals="1" fieldPosition="0"/>
    </format>
    <format dxfId="24">
      <pivotArea outline="0" fieldPosition="0">
        <references count="1">
          <reference field="4294967294" count="1">
            <x v="0"/>
          </reference>
        </references>
      </pivotArea>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3439E-EED7-46D0-AE16-527A4A5E82C2}" name="PivotTable2"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1:B14" firstHeaderRow="1" firstDataRow="1" firstDataCol="1"/>
  <pivotFields count="16">
    <pivotField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axis="axisRow" showAll="0" defaultSubtotal="0">
      <items count="3">
        <item x="1"/>
        <item x="0"/>
        <item x="2"/>
      </items>
    </pivotField>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items count="3">
        <item x="1"/>
        <item x="2"/>
        <item x="0"/>
      </items>
    </pivotField>
    <pivotField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4"/>
  </rowFields>
  <rowItems count="3">
    <i>
      <x/>
    </i>
    <i>
      <x v="1"/>
    </i>
    <i>
      <x v="2"/>
    </i>
  </rowItems>
  <colItems count="1">
    <i/>
  </colItems>
  <dataFields count="1">
    <dataField name="Sum of Discount Amount" fld="8" baseField="0" baseItem="0" numFmtId="164"/>
  </dataFields>
  <formats count="1">
    <format dxfId="2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46C657-A182-4D24-8F28-83FC21A8F9D7}" name="PivotTable1"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6">
    <pivotField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axis="axisRow" showAll="0" defaultSubtotal="0">
      <items count="5">
        <item x="4"/>
        <item x="1"/>
        <item x="0"/>
        <item x="2"/>
        <item x="3"/>
      </items>
    </pivotField>
    <pivotField showAll="0" defaultSubtotal="0">
      <items count="3">
        <item x="2"/>
        <item x="0"/>
        <item x="1"/>
      </items>
    </pivotField>
    <pivotField showAll="0" defaultSubtotal="0">
      <items count="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3">
        <item x="1"/>
        <item x="2"/>
        <item x="0"/>
      </items>
    </pivotField>
    <pivotField dataField="1"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2"/>
  </rowFields>
  <rowItems count="5">
    <i>
      <x/>
    </i>
    <i>
      <x v="1"/>
    </i>
    <i>
      <x v="2"/>
    </i>
    <i>
      <x v="3"/>
    </i>
    <i>
      <x v="4"/>
    </i>
  </rowItems>
  <colItems count="1">
    <i/>
  </colItems>
  <dataFields count="1">
    <dataField name="Sum of Total Price" fld="13"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291EF6-4F00-4337-A7DF-658CE6EF670D}" name="PivotTable14"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2:I3" firstHeaderRow="1" firstDataRow="1" firstDataCol="1"/>
  <pivotFields count="16">
    <pivotField dataField="1"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showAll="0" defaultSubtotal="0">
      <items count="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3">
        <item h="1" x="1"/>
        <item h="1" x="2"/>
        <item x="0"/>
      </items>
    </pivotField>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1">
    <i>
      <x v="2"/>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EEF478-6D8E-451D-AE7A-38E951799B82}" name="PivotTable13"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2:F3" firstHeaderRow="1" firstDataRow="1" firstDataCol="1"/>
  <pivotFields count="16">
    <pivotField dataField="1" showAll="0" defaultSubtotal="0"/>
    <pivotField numFmtId="14" showAll="0" defaultSubtotal="0">
      <items count="336">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s>
    </pivotField>
    <pivotField showAll="0" defaultSubtotal="0"/>
    <pivotField showAll="0" defaultSubtotal="0">
      <items count="3">
        <item x="2"/>
        <item x="0"/>
        <item x="1"/>
      </items>
    </pivotField>
    <pivotField showAll="0" defaultSubtotal="0">
      <items count="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1"/>
        <item h="1" x="2"/>
        <item h="1" x="0"/>
      </items>
    </pivotField>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1">
    <i>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3E4BAD-B052-4012-AAD7-E64FC722DD73}"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6">
    <pivotField showAll="0"/>
    <pivotField numFmtId="14" showAll="0">
      <items count="337">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 t="default"/>
      </items>
    </pivotField>
    <pivotField showAll="0"/>
    <pivotField showAll="0">
      <items count="4">
        <item x="2"/>
        <item x="0"/>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otal Price" fld="13" subtotal="average" baseField="0" baseItem="0" numFmtId="169"/>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7B3949-DCAA-46D5-8E36-D2AEB41FF19B}"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6">
    <pivotField showAll="0"/>
    <pivotField numFmtId="14" showAll="0">
      <items count="337">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 t="default"/>
      </items>
    </pivotField>
    <pivotField showAll="0"/>
    <pivotField showAll="0">
      <items count="4">
        <item x="2"/>
        <item x="0"/>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Price" fld="13" baseField="0" baseItem="0" numFmtId="168"/>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2F9D74-5ECD-4029-9F68-C795EA49A13C}" sourceName="Region">
  <pivotTables>
    <pivotTable tabId="2" name="PivotTable2"/>
    <pivotTable tabId="4" name="PivotTable11"/>
    <pivotTable tabId="4" name="PivotTable12"/>
    <pivotTable tabId="4" name="PivotTable13"/>
    <pivotTable tabId="4" name="PivotTable14"/>
    <pivotTable tabId="2" name="PivotTable1"/>
    <pivotTable tabId="2" name="PivotTable10"/>
    <pivotTable tabId="2" name="PivotTable3"/>
    <pivotTable tabId="2" name="PivotTable4"/>
    <pivotTable tabId="2" name="PivotTable7"/>
  </pivotTables>
  <data>
    <tabular pivotCacheId="85866036">
      <items count="3">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ED8474-9BF1-4838-9B53-FB7206973693}" sourceName="Category">
  <pivotTables>
    <pivotTable tabId="2" name="PivotTable2"/>
    <pivotTable tabId="4" name="PivotTable11"/>
    <pivotTable tabId="4" name="PivotTable12"/>
    <pivotTable tabId="4" name="PivotTable13"/>
    <pivotTable tabId="4" name="PivotTable14"/>
    <pivotTable tabId="2" name="PivotTable1"/>
    <pivotTable tabId="2" name="PivotTable10"/>
    <pivotTable tabId="2" name="PivotTable3"/>
    <pivotTable tabId="2" name="PivotTable4"/>
    <pivotTable tabId="2" name="PivotTable7"/>
  </pivotTables>
  <data>
    <tabular pivotCacheId="85866036">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99A787-75B9-419A-BCD0-B99DD782529D}" cache="Slicer_Region" caption="Region" style="Slicer Style 1" rowHeight="234950"/>
  <slicer name="Category" xr10:uid="{3FA60000-D9E9-4F76-A392-36ECF9B6CAAC}" cache="Slicer_Category" caption="Category"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AA69-D399-488A-9D52-32827C7153E5}">
  <dimension ref="A3:E52"/>
  <sheetViews>
    <sheetView topLeftCell="A9" workbookViewId="0">
      <selection activeCell="V4" sqref="V4"/>
    </sheetView>
  </sheetViews>
  <sheetFormatPr defaultRowHeight="14.4" x14ac:dyDescent="0.3"/>
  <cols>
    <col min="1" max="1" width="21.5546875" bestFit="1" customWidth="1"/>
    <col min="2" max="2" width="15.5546875" bestFit="1" customWidth="1"/>
    <col min="3" max="3" width="7.88671875" bestFit="1" customWidth="1"/>
    <col min="4" max="4" width="8.77734375" bestFit="1" customWidth="1"/>
    <col min="5" max="5" width="10" bestFit="1" customWidth="1"/>
    <col min="6" max="6" width="11" bestFit="1" customWidth="1"/>
    <col min="7" max="7" width="10" bestFit="1" customWidth="1"/>
    <col min="8" max="8" width="11" bestFit="1" customWidth="1"/>
    <col min="9" max="9" width="10" bestFit="1" customWidth="1"/>
    <col min="10" max="10" width="11" bestFit="1" customWidth="1"/>
  </cols>
  <sheetData>
    <row r="3" spans="1:5" x14ac:dyDescent="0.3">
      <c r="A3" s="2" t="s">
        <v>1043</v>
      </c>
      <c r="B3" t="s">
        <v>1044</v>
      </c>
      <c r="D3" t="s">
        <v>2</v>
      </c>
      <c r="E3" t="s">
        <v>1047</v>
      </c>
    </row>
    <row r="4" spans="1:5" x14ac:dyDescent="0.3">
      <c r="A4" s="3" t="s">
        <v>46</v>
      </c>
      <c r="B4" s="5">
        <v>20267388.449999981</v>
      </c>
      <c r="D4" t="str">
        <f>IF(ISBLANK(A4),"",A4)</f>
        <v>Delhi</v>
      </c>
      <c r="E4" s="6">
        <f>IF(ISBLANK(B4),"",B4)</f>
        <v>20267388.449999981</v>
      </c>
    </row>
    <row r="5" spans="1:5" x14ac:dyDescent="0.3">
      <c r="A5" s="3" t="s">
        <v>26</v>
      </c>
      <c r="B5" s="5">
        <v>24052742.399999987</v>
      </c>
      <c r="D5" t="str">
        <f t="shared" ref="D5:E8" si="0">IF(ISBLANK(A5),"",A5)</f>
        <v>Karnataka</v>
      </c>
      <c r="E5" s="6">
        <f t="shared" si="0"/>
        <v>24052742.399999987</v>
      </c>
    </row>
    <row r="6" spans="1:5" x14ac:dyDescent="0.3">
      <c r="A6" s="3" t="s">
        <v>14</v>
      </c>
      <c r="B6" s="5">
        <v>24300653.70000001</v>
      </c>
      <c r="D6" t="str">
        <f t="shared" si="0"/>
        <v>Maharashtra</v>
      </c>
      <c r="E6" s="6">
        <f t="shared" si="0"/>
        <v>24300653.70000001</v>
      </c>
    </row>
    <row r="7" spans="1:5" x14ac:dyDescent="0.3">
      <c r="A7" s="3" t="s">
        <v>32</v>
      </c>
      <c r="B7" s="5">
        <v>21778700.149999984</v>
      </c>
      <c r="D7" t="str">
        <f t="shared" si="0"/>
        <v>Tamil Nadu</v>
      </c>
      <c r="E7" s="6">
        <f t="shared" si="0"/>
        <v>21778700.149999984</v>
      </c>
    </row>
    <row r="8" spans="1:5" x14ac:dyDescent="0.3">
      <c r="A8" s="3" t="s">
        <v>39</v>
      </c>
      <c r="B8" s="5">
        <v>23327347.999999985</v>
      </c>
      <c r="D8" t="str">
        <f t="shared" si="0"/>
        <v>Telangana</v>
      </c>
      <c r="E8" s="6">
        <f t="shared" si="0"/>
        <v>23327347.999999985</v>
      </c>
    </row>
    <row r="11" spans="1:5" x14ac:dyDescent="0.3">
      <c r="A11" s="2" t="s">
        <v>1043</v>
      </c>
      <c r="B11" t="s">
        <v>1045</v>
      </c>
    </row>
    <row r="12" spans="1:5" x14ac:dyDescent="0.3">
      <c r="A12" s="3" t="s">
        <v>27</v>
      </c>
      <c r="B12" s="5">
        <v>4150656.399999998</v>
      </c>
    </row>
    <row r="13" spans="1:5" x14ac:dyDescent="0.3">
      <c r="A13" s="3" t="s">
        <v>16</v>
      </c>
      <c r="B13" s="5">
        <v>4522716.6499999957</v>
      </c>
    </row>
    <row r="14" spans="1:5" x14ac:dyDescent="0.3">
      <c r="A14" s="3" t="s">
        <v>44</v>
      </c>
      <c r="B14" s="5">
        <v>3705797.2499999995</v>
      </c>
    </row>
    <row r="17" spans="1:2" x14ac:dyDescent="0.3">
      <c r="A17" s="2" t="s">
        <v>1043</v>
      </c>
      <c r="B17" t="s">
        <v>1044</v>
      </c>
    </row>
    <row r="18" spans="1:2" x14ac:dyDescent="0.3">
      <c r="A18" s="3" t="s">
        <v>30</v>
      </c>
      <c r="B18" s="7">
        <v>0.34010985474318939</v>
      </c>
    </row>
    <row r="19" spans="1:2" x14ac:dyDescent="0.3">
      <c r="A19" s="3" t="s">
        <v>41</v>
      </c>
      <c r="B19" s="7">
        <v>0.3350382328022049</v>
      </c>
    </row>
    <row r="20" spans="1:2" x14ac:dyDescent="0.3">
      <c r="A20" s="3" t="s">
        <v>19</v>
      </c>
      <c r="B20" s="7">
        <v>0.32485191245460587</v>
      </c>
    </row>
    <row r="24" spans="1:2" x14ac:dyDescent="0.3">
      <c r="A24" s="2" t="s">
        <v>1043</v>
      </c>
      <c r="B24" t="s">
        <v>1046</v>
      </c>
    </row>
    <row r="25" spans="1:2" x14ac:dyDescent="0.3">
      <c r="A25" s="3" t="s">
        <v>29</v>
      </c>
      <c r="B25" s="4">
        <v>257</v>
      </c>
    </row>
    <row r="26" spans="1:2" x14ac:dyDescent="0.3">
      <c r="A26" s="3" t="s">
        <v>18</v>
      </c>
      <c r="B26" s="4">
        <v>253</v>
      </c>
    </row>
    <row r="27" spans="1:2" x14ac:dyDescent="0.3">
      <c r="A27" s="3" t="s">
        <v>50</v>
      </c>
      <c r="B27" s="4">
        <v>262</v>
      </c>
    </row>
    <row r="28" spans="1:2" x14ac:dyDescent="0.3">
      <c r="A28" s="3" t="s">
        <v>36</v>
      </c>
      <c r="B28" s="4">
        <v>228</v>
      </c>
    </row>
    <row r="31" spans="1:2" x14ac:dyDescent="0.3">
      <c r="A31" s="2" t="s">
        <v>1049</v>
      </c>
      <c r="B31" s="2" t="s">
        <v>1048</v>
      </c>
    </row>
    <row r="32" spans="1:2" x14ac:dyDescent="0.3">
      <c r="A32" s="2" t="s">
        <v>1043</v>
      </c>
      <c r="B32" t="s">
        <v>21</v>
      </c>
    </row>
    <row r="33" spans="1:2" x14ac:dyDescent="0.3">
      <c r="A33" s="3" t="s">
        <v>35</v>
      </c>
      <c r="B33" s="4">
        <v>66</v>
      </c>
    </row>
    <row r="34" spans="1:2" x14ac:dyDescent="0.3">
      <c r="A34" s="3" t="s">
        <v>28</v>
      </c>
      <c r="B34" s="4">
        <v>72</v>
      </c>
    </row>
    <row r="35" spans="1:2" x14ac:dyDescent="0.3">
      <c r="A35" s="3" t="s">
        <v>49</v>
      </c>
      <c r="B35" s="4">
        <v>66</v>
      </c>
    </row>
    <row r="36" spans="1:2" x14ac:dyDescent="0.3">
      <c r="A36" s="3" t="s">
        <v>47</v>
      </c>
      <c r="B36" s="4">
        <v>74</v>
      </c>
    </row>
    <row r="37" spans="1:2" x14ac:dyDescent="0.3">
      <c r="A37" s="3" t="s">
        <v>17</v>
      </c>
      <c r="B37" s="4">
        <v>75</v>
      </c>
    </row>
    <row r="40" spans="1:2" x14ac:dyDescent="0.3">
      <c r="A40" s="2" t="s">
        <v>1043</v>
      </c>
      <c r="B40" t="s">
        <v>1044</v>
      </c>
    </row>
    <row r="41" spans="1:2" x14ac:dyDescent="0.3">
      <c r="A41" s="3" t="s">
        <v>1050</v>
      </c>
      <c r="B41" s="6">
        <v>8798024.4999999963</v>
      </c>
    </row>
    <row r="42" spans="1:2" x14ac:dyDescent="0.3">
      <c r="A42" s="3" t="s">
        <v>1051</v>
      </c>
      <c r="B42" s="6">
        <v>10311865.349999996</v>
      </c>
    </row>
    <row r="43" spans="1:2" x14ac:dyDescent="0.3">
      <c r="A43" s="3" t="s">
        <v>1052</v>
      </c>
      <c r="B43" s="6">
        <v>6529139.2000000002</v>
      </c>
    </row>
    <row r="44" spans="1:2" x14ac:dyDescent="0.3">
      <c r="A44" s="3" t="s">
        <v>1053</v>
      </c>
      <c r="B44" s="6">
        <v>10759527.099999994</v>
      </c>
    </row>
    <row r="45" spans="1:2" x14ac:dyDescent="0.3">
      <c r="A45" s="3" t="s">
        <v>1054</v>
      </c>
      <c r="B45" s="6">
        <v>10895441.399999995</v>
      </c>
    </row>
    <row r="46" spans="1:2" x14ac:dyDescent="0.3">
      <c r="A46" s="3" t="s">
        <v>1055</v>
      </c>
      <c r="B46" s="6">
        <v>7768815.25</v>
      </c>
    </row>
    <row r="47" spans="1:2" x14ac:dyDescent="0.3">
      <c r="A47" s="3" t="s">
        <v>1056</v>
      </c>
      <c r="B47" s="6">
        <v>9256914.6499999966</v>
      </c>
    </row>
    <row r="48" spans="1:2" x14ac:dyDescent="0.3">
      <c r="A48" s="3" t="s">
        <v>1057</v>
      </c>
      <c r="B48" s="6">
        <v>11215111.049999997</v>
      </c>
    </row>
    <row r="49" spans="1:2" x14ac:dyDescent="0.3">
      <c r="A49" s="3" t="s">
        <v>1058</v>
      </c>
      <c r="B49" s="6">
        <v>9087438.049999997</v>
      </c>
    </row>
    <row r="50" spans="1:2" x14ac:dyDescent="0.3">
      <c r="A50" s="3" t="s">
        <v>1059</v>
      </c>
      <c r="B50" s="6">
        <v>9234476.6499999966</v>
      </c>
    </row>
    <row r="51" spans="1:2" x14ac:dyDescent="0.3">
      <c r="A51" s="3" t="s">
        <v>1060</v>
      </c>
      <c r="B51" s="6">
        <v>9426533.4999999925</v>
      </c>
    </row>
    <row r="52" spans="1:2" x14ac:dyDescent="0.3">
      <c r="A52" s="3" t="s">
        <v>1061</v>
      </c>
      <c r="B52" s="6">
        <v>10443545.999999993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7EB5-906C-48B6-A560-D5F6E44C60E3}">
  <dimension ref="A2:I3"/>
  <sheetViews>
    <sheetView workbookViewId="0">
      <selection activeCell="H2" sqref="H2"/>
    </sheetView>
  </sheetViews>
  <sheetFormatPr defaultRowHeight="14.4" x14ac:dyDescent="0.3"/>
  <cols>
    <col min="1" max="1" width="16.33203125" bestFit="1" customWidth="1"/>
    <col min="3" max="3" width="19.5546875" bestFit="1" customWidth="1"/>
    <col min="5" max="5" width="12.5546875" bestFit="1" customWidth="1"/>
    <col min="6" max="6" width="15.88671875" bestFit="1" customWidth="1"/>
    <col min="8" max="8" width="12.5546875" bestFit="1" customWidth="1"/>
    <col min="9" max="9" width="15.88671875" bestFit="1" customWidth="1"/>
  </cols>
  <sheetData>
    <row r="2" spans="1:9" x14ac:dyDescent="0.3">
      <c r="A2" t="s">
        <v>1044</v>
      </c>
      <c r="C2" t="s">
        <v>1062</v>
      </c>
      <c r="E2" s="2" t="s">
        <v>1043</v>
      </c>
      <c r="F2" t="s">
        <v>1046</v>
      </c>
      <c r="H2" s="2" t="s">
        <v>1043</v>
      </c>
      <c r="I2" t="s">
        <v>1046</v>
      </c>
    </row>
    <row r="3" spans="1:9" x14ac:dyDescent="0.3">
      <c r="A3" s="9">
        <v>113726832.70000002</v>
      </c>
      <c r="C3" s="10">
        <v>113726.83270000001</v>
      </c>
      <c r="E3" s="3" t="s">
        <v>24</v>
      </c>
      <c r="F3" s="4">
        <v>331</v>
      </c>
      <c r="H3" s="3" t="s">
        <v>21</v>
      </c>
      <c r="I3" s="4">
        <v>353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142A-4E78-4824-A405-A32AA7B24365}">
  <dimension ref="A1"/>
  <sheetViews>
    <sheetView tabSelected="1" workbookViewId="0">
      <selection activeCell="V4" sqref="V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91EC-E383-4231-8785-6870BF4516E8}">
  <dimension ref="A1:N1001"/>
  <sheetViews>
    <sheetView workbookViewId="0">
      <selection sqref="A1:N1001"/>
    </sheetView>
  </sheetViews>
  <sheetFormatPr defaultRowHeight="14.4" x14ac:dyDescent="0.3"/>
  <cols>
    <col min="1" max="1" width="9.6640625" bestFit="1" customWidth="1"/>
    <col min="2" max="2" width="10.33203125" bestFit="1" customWidth="1"/>
    <col min="3" max="3" width="11.44140625" bestFit="1" customWidth="1"/>
    <col min="4" max="4" width="6.5546875" bestFit="1" customWidth="1"/>
    <col min="5" max="5" width="9.88671875" bestFit="1" customWidth="1"/>
    <col min="6" max="6" width="7.33203125" bestFit="1" customWidth="1"/>
    <col min="7" max="7" width="8" bestFit="1" customWidth="1"/>
    <col min="10" max="10" width="12.44140625" bestFit="1" customWidth="1"/>
    <col min="11" max="11" width="16.44140625" bestFit="1" customWidth="1"/>
    <col min="12" max="12" width="14.6640625" bestFit="1" customWidth="1"/>
    <col min="13" max="13" width="13.109375" bestFit="1" customWidth="1"/>
    <col min="14" max="14" width="10" bestFit="1" customWidth="1"/>
  </cols>
  <sheetData>
    <row r="1" spans="1:14" x14ac:dyDescent="0.3">
      <c r="A1" t="s">
        <v>0</v>
      </c>
      <c r="B1" t="s">
        <v>1</v>
      </c>
      <c r="C1" t="s">
        <v>2</v>
      </c>
      <c r="D1" t="s">
        <v>3</v>
      </c>
      <c r="E1" t="s">
        <v>4</v>
      </c>
      <c r="F1" t="s">
        <v>5</v>
      </c>
      <c r="G1" t="s">
        <v>6</v>
      </c>
      <c r="H1" t="s">
        <v>7</v>
      </c>
      <c r="I1" t="s">
        <v>1042</v>
      </c>
      <c r="J1" t="s">
        <v>8</v>
      </c>
      <c r="K1" t="s">
        <v>9</v>
      </c>
      <c r="L1" t="s">
        <v>10</v>
      </c>
      <c r="M1" t="s">
        <v>11</v>
      </c>
      <c r="N1" t="s">
        <v>12</v>
      </c>
    </row>
    <row r="2" spans="1:14" x14ac:dyDescent="0.3">
      <c r="A2" t="s">
        <v>13</v>
      </c>
      <c r="B2" s="1">
        <v>45029</v>
      </c>
      <c r="C2" t="s">
        <v>14</v>
      </c>
      <c r="D2" t="s">
        <v>15</v>
      </c>
      <c r="E2" t="s">
        <v>16</v>
      </c>
      <c r="F2" t="s">
        <v>17</v>
      </c>
      <c r="G2">
        <v>9</v>
      </c>
      <c r="H2">
        <v>49923</v>
      </c>
      <c r="I2">
        <v>0</v>
      </c>
      <c r="J2" t="s">
        <v>18</v>
      </c>
      <c r="K2" t="s">
        <v>19</v>
      </c>
      <c r="L2" t="s">
        <v>20</v>
      </c>
      <c r="M2" t="s">
        <v>21</v>
      </c>
      <c r="N2">
        <v>449307</v>
      </c>
    </row>
    <row r="3" spans="1:14" x14ac:dyDescent="0.3">
      <c r="A3" t="s">
        <v>22</v>
      </c>
      <c r="B3" s="1">
        <v>45275</v>
      </c>
      <c r="C3" t="s">
        <v>14</v>
      </c>
      <c r="D3" t="s">
        <v>15</v>
      </c>
      <c r="E3" t="s">
        <v>16</v>
      </c>
      <c r="F3" t="s">
        <v>17</v>
      </c>
      <c r="G3">
        <v>4</v>
      </c>
      <c r="H3">
        <v>17374</v>
      </c>
      <c r="I3">
        <v>13899.2</v>
      </c>
      <c r="J3" t="s">
        <v>18</v>
      </c>
      <c r="K3" t="s">
        <v>19</v>
      </c>
      <c r="L3" t="s">
        <v>23</v>
      </c>
      <c r="M3" t="s">
        <v>24</v>
      </c>
      <c r="N3">
        <v>55596.800000000003</v>
      </c>
    </row>
    <row r="4" spans="1:14" x14ac:dyDescent="0.3">
      <c r="A4" t="s">
        <v>25</v>
      </c>
      <c r="B4" s="1">
        <v>45197</v>
      </c>
      <c r="C4" t="s">
        <v>26</v>
      </c>
      <c r="D4" t="s">
        <v>15</v>
      </c>
      <c r="E4" t="s">
        <v>27</v>
      </c>
      <c r="F4" t="s">
        <v>28</v>
      </c>
      <c r="G4">
        <v>5</v>
      </c>
      <c r="H4">
        <v>42798</v>
      </c>
      <c r="I4">
        <v>42798</v>
      </c>
      <c r="J4" t="s">
        <v>29</v>
      </c>
      <c r="K4" t="s">
        <v>30</v>
      </c>
      <c r="L4" t="s">
        <v>23</v>
      </c>
      <c r="M4" t="s">
        <v>21</v>
      </c>
      <c r="N4">
        <v>171192</v>
      </c>
    </row>
    <row r="5" spans="1:14" x14ac:dyDescent="0.3">
      <c r="A5" t="s">
        <v>31</v>
      </c>
      <c r="B5" s="1">
        <v>45033</v>
      </c>
      <c r="C5" t="s">
        <v>32</v>
      </c>
      <c r="D5" t="s">
        <v>15</v>
      </c>
      <c r="E5" t="s">
        <v>27</v>
      </c>
      <c r="F5" t="s">
        <v>17</v>
      </c>
      <c r="G5">
        <v>7</v>
      </c>
      <c r="H5">
        <v>13998</v>
      </c>
      <c r="I5">
        <v>4899.3</v>
      </c>
      <c r="J5" t="s">
        <v>18</v>
      </c>
      <c r="K5" t="s">
        <v>30</v>
      </c>
      <c r="L5" t="s">
        <v>20</v>
      </c>
      <c r="M5" t="s">
        <v>33</v>
      </c>
      <c r="N5">
        <v>93086.7</v>
      </c>
    </row>
    <row r="6" spans="1:14" x14ac:dyDescent="0.3">
      <c r="A6" t="s">
        <v>34</v>
      </c>
      <c r="B6" s="1">
        <v>44998</v>
      </c>
      <c r="C6" t="s">
        <v>32</v>
      </c>
      <c r="D6" t="s">
        <v>15</v>
      </c>
      <c r="E6" t="s">
        <v>27</v>
      </c>
      <c r="F6" t="s">
        <v>35</v>
      </c>
      <c r="G6">
        <v>4</v>
      </c>
      <c r="H6">
        <v>17758</v>
      </c>
      <c r="I6">
        <v>7103.2000000000007</v>
      </c>
      <c r="J6" t="s">
        <v>36</v>
      </c>
      <c r="K6" t="s">
        <v>30</v>
      </c>
      <c r="L6" t="s">
        <v>37</v>
      </c>
      <c r="M6" t="s">
        <v>24</v>
      </c>
      <c r="N6">
        <v>63928.800000000003</v>
      </c>
    </row>
    <row r="7" spans="1:14" x14ac:dyDescent="0.3">
      <c r="A7" t="s">
        <v>38</v>
      </c>
      <c r="B7" s="1">
        <v>45115</v>
      </c>
      <c r="C7" t="s">
        <v>39</v>
      </c>
      <c r="D7" t="s">
        <v>40</v>
      </c>
      <c r="E7" t="s">
        <v>27</v>
      </c>
      <c r="F7" t="s">
        <v>28</v>
      </c>
      <c r="G7">
        <v>1</v>
      </c>
      <c r="H7">
        <v>44437</v>
      </c>
      <c r="I7">
        <v>4443.7</v>
      </c>
      <c r="J7" t="s">
        <v>36</v>
      </c>
      <c r="K7" t="s">
        <v>41</v>
      </c>
      <c r="L7" t="s">
        <v>23</v>
      </c>
      <c r="M7" t="s">
        <v>21</v>
      </c>
      <c r="N7">
        <v>39993.300000000003</v>
      </c>
    </row>
    <row r="8" spans="1:14" x14ac:dyDescent="0.3">
      <c r="A8" t="s">
        <v>42</v>
      </c>
      <c r="B8" s="1">
        <v>44947</v>
      </c>
      <c r="C8" t="s">
        <v>32</v>
      </c>
      <c r="D8" t="s">
        <v>43</v>
      </c>
      <c r="E8" t="s">
        <v>44</v>
      </c>
      <c r="F8" t="s">
        <v>35</v>
      </c>
      <c r="G8">
        <v>9</v>
      </c>
      <c r="H8">
        <v>378</v>
      </c>
      <c r="I8">
        <v>0</v>
      </c>
      <c r="J8" t="s">
        <v>29</v>
      </c>
      <c r="K8" t="s">
        <v>19</v>
      </c>
      <c r="L8" t="s">
        <v>20</v>
      </c>
      <c r="M8" t="s">
        <v>24</v>
      </c>
      <c r="N8">
        <v>3402</v>
      </c>
    </row>
    <row r="9" spans="1:14" x14ac:dyDescent="0.3">
      <c r="A9" t="s">
        <v>45</v>
      </c>
      <c r="B9" s="1">
        <v>45029</v>
      </c>
      <c r="C9" t="s">
        <v>46</v>
      </c>
      <c r="D9" t="s">
        <v>43</v>
      </c>
      <c r="E9" t="s">
        <v>16</v>
      </c>
      <c r="F9" t="s">
        <v>47</v>
      </c>
      <c r="G9">
        <v>4</v>
      </c>
      <c r="H9">
        <v>20670</v>
      </c>
      <c r="I9">
        <v>4134</v>
      </c>
      <c r="J9" t="s">
        <v>36</v>
      </c>
      <c r="K9" t="s">
        <v>41</v>
      </c>
      <c r="L9" t="s">
        <v>20</v>
      </c>
      <c r="M9" t="s">
        <v>24</v>
      </c>
      <c r="N9">
        <v>78546</v>
      </c>
    </row>
    <row r="10" spans="1:14" x14ac:dyDescent="0.3">
      <c r="A10" t="s">
        <v>48</v>
      </c>
      <c r="B10" s="1">
        <v>45048</v>
      </c>
      <c r="C10" t="s">
        <v>32</v>
      </c>
      <c r="D10" t="s">
        <v>40</v>
      </c>
      <c r="E10" t="s">
        <v>27</v>
      </c>
      <c r="F10" t="s">
        <v>49</v>
      </c>
      <c r="G10">
        <v>9</v>
      </c>
      <c r="H10">
        <v>17318</v>
      </c>
      <c r="I10">
        <v>0</v>
      </c>
      <c r="J10" t="s">
        <v>50</v>
      </c>
      <c r="K10" t="s">
        <v>19</v>
      </c>
      <c r="L10" t="s">
        <v>37</v>
      </c>
      <c r="M10" t="s">
        <v>33</v>
      </c>
      <c r="N10">
        <v>155862</v>
      </c>
    </row>
    <row r="11" spans="1:14" x14ac:dyDescent="0.3">
      <c r="A11" t="s">
        <v>51</v>
      </c>
      <c r="B11" s="1">
        <v>45141</v>
      </c>
      <c r="C11" t="s">
        <v>39</v>
      </c>
      <c r="D11" t="s">
        <v>40</v>
      </c>
      <c r="E11" t="s">
        <v>44</v>
      </c>
      <c r="F11" t="s">
        <v>47</v>
      </c>
      <c r="G11">
        <v>6</v>
      </c>
      <c r="H11">
        <v>22816</v>
      </c>
      <c r="I11">
        <v>20534.399999999998</v>
      </c>
      <c r="J11" t="s">
        <v>36</v>
      </c>
      <c r="K11" t="s">
        <v>30</v>
      </c>
      <c r="L11" t="s">
        <v>37</v>
      </c>
      <c r="M11" t="s">
        <v>24</v>
      </c>
      <c r="N11">
        <v>116361.599999999</v>
      </c>
    </row>
    <row r="12" spans="1:14" x14ac:dyDescent="0.3">
      <c r="A12" t="s">
        <v>52</v>
      </c>
      <c r="B12" s="1">
        <v>45257</v>
      </c>
      <c r="C12" t="s">
        <v>32</v>
      </c>
      <c r="D12" t="s">
        <v>43</v>
      </c>
      <c r="E12" t="s">
        <v>27</v>
      </c>
      <c r="F12" t="s">
        <v>49</v>
      </c>
      <c r="G12">
        <v>1</v>
      </c>
      <c r="H12">
        <v>998</v>
      </c>
      <c r="I12">
        <v>199.60000000000002</v>
      </c>
      <c r="J12" t="s">
        <v>36</v>
      </c>
      <c r="K12" t="s">
        <v>30</v>
      </c>
      <c r="L12" t="s">
        <v>23</v>
      </c>
      <c r="M12" t="s">
        <v>21</v>
      </c>
      <c r="N12">
        <v>798.4</v>
      </c>
    </row>
    <row r="13" spans="1:14" x14ac:dyDescent="0.3">
      <c r="A13" t="s">
        <v>53</v>
      </c>
      <c r="B13" s="1">
        <v>45014</v>
      </c>
      <c r="C13" t="s">
        <v>46</v>
      </c>
      <c r="D13" t="s">
        <v>43</v>
      </c>
      <c r="E13" t="s">
        <v>27</v>
      </c>
      <c r="F13" t="s">
        <v>47</v>
      </c>
      <c r="G13">
        <v>3</v>
      </c>
      <c r="H13">
        <v>7801</v>
      </c>
      <c r="I13">
        <v>0</v>
      </c>
      <c r="J13" t="s">
        <v>36</v>
      </c>
      <c r="K13" t="s">
        <v>30</v>
      </c>
      <c r="L13" t="s">
        <v>23</v>
      </c>
      <c r="M13" t="s">
        <v>24</v>
      </c>
      <c r="N13">
        <v>23403</v>
      </c>
    </row>
    <row r="14" spans="1:14" x14ac:dyDescent="0.3">
      <c r="A14" t="s">
        <v>54</v>
      </c>
      <c r="B14" s="1">
        <v>45026</v>
      </c>
      <c r="C14" t="s">
        <v>26</v>
      </c>
      <c r="D14" t="s">
        <v>43</v>
      </c>
      <c r="E14" t="s">
        <v>16</v>
      </c>
      <c r="F14" t="s">
        <v>17</v>
      </c>
      <c r="G14">
        <v>2</v>
      </c>
      <c r="H14">
        <v>25563</v>
      </c>
      <c r="I14">
        <v>10225.200000000001</v>
      </c>
      <c r="J14" t="s">
        <v>50</v>
      </c>
      <c r="K14" t="s">
        <v>30</v>
      </c>
      <c r="L14" t="s">
        <v>23</v>
      </c>
      <c r="M14" t="s">
        <v>24</v>
      </c>
      <c r="N14">
        <v>40900.800000000003</v>
      </c>
    </row>
    <row r="15" spans="1:14" x14ac:dyDescent="0.3">
      <c r="A15" t="s">
        <v>55</v>
      </c>
      <c r="B15" s="1">
        <v>45286</v>
      </c>
      <c r="C15" t="s">
        <v>39</v>
      </c>
      <c r="D15" t="s">
        <v>43</v>
      </c>
      <c r="E15" t="s">
        <v>27</v>
      </c>
      <c r="F15" t="s">
        <v>35</v>
      </c>
      <c r="G15">
        <v>9</v>
      </c>
      <c r="H15">
        <v>2995</v>
      </c>
      <c r="I15">
        <v>1347.75</v>
      </c>
      <c r="J15" t="s">
        <v>18</v>
      </c>
      <c r="K15" t="s">
        <v>19</v>
      </c>
      <c r="L15" t="s">
        <v>20</v>
      </c>
      <c r="M15" t="s">
        <v>21</v>
      </c>
      <c r="N15">
        <v>25607.25</v>
      </c>
    </row>
    <row r="16" spans="1:14" x14ac:dyDescent="0.3">
      <c r="A16" t="s">
        <v>56</v>
      </c>
      <c r="B16" s="1">
        <v>45078</v>
      </c>
      <c r="C16" t="s">
        <v>26</v>
      </c>
      <c r="D16" t="s">
        <v>43</v>
      </c>
      <c r="E16" t="s">
        <v>16</v>
      </c>
      <c r="F16" t="s">
        <v>49</v>
      </c>
      <c r="G16">
        <v>1</v>
      </c>
      <c r="H16">
        <v>32126</v>
      </c>
      <c r="I16">
        <v>4818.8999999999996</v>
      </c>
      <c r="J16" t="s">
        <v>36</v>
      </c>
      <c r="K16" t="s">
        <v>30</v>
      </c>
      <c r="L16" t="s">
        <v>23</v>
      </c>
      <c r="M16" t="s">
        <v>33</v>
      </c>
      <c r="N16">
        <v>27307.1</v>
      </c>
    </row>
    <row r="17" spans="1:14" x14ac:dyDescent="0.3">
      <c r="A17" t="s">
        <v>57</v>
      </c>
      <c r="B17" s="1">
        <v>45057</v>
      </c>
      <c r="C17" t="s">
        <v>26</v>
      </c>
      <c r="D17" t="s">
        <v>15</v>
      </c>
      <c r="E17" t="s">
        <v>16</v>
      </c>
      <c r="F17" t="s">
        <v>28</v>
      </c>
      <c r="G17">
        <v>9</v>
      </c>
      <c r="H17">
        <v>45464</v>
      </c>
      <c r="I17">
        <v>20458.800000000003</v>
      </c>
      <c r="J17" t="s">
        <v>29</v>
      </c>
      <c r="K17" t="s">
        <v>19</v>
      </c>
      <c r="L17" t="s">
        <v>20</v>
      </c>
      <c r="M17" t="s">
        <v>33</v>
      </c>
      <c r="N17">
        <v>388717.19999999902</v>
      </c>
    </row>
    <row r="18" spans="1:14" x14ac:dyDescent="0.3">
      <c r="A18" t="s">
        <v>58</v>
      </c>
      <c r="B18" s="1">
        <v>45076</v>
      </c>
      <c r="C18" t="s">
        <v>26</v>
      </c>
      <c r="D18" t="s">
        <v>40</v>
      </c>
      <c r="E18" t="s">
        <v>16</v>
      </c>
      <c r="F18" t="s">
        <v>35</v>
      </c>
      <c r="G18">
        <v>9</v>
      </c>
      <c r="H18">
        <v>37556</v>
      </c>
      <c r="I18">
        <v>50700.6</v>
      </c>
      <c r="J18" t="s">
        <v>50</v>
      </c>
      <c r="K18" t="s">
        <v>19</v>
      </c>
      <c r="L18" t="s">
        <v>23</v>
      </c>
      <c r="M18" t="s">
        <v>21</v>
      </c>
      <c r="N18">
        <v>287303.39999999898</v>
      </c>
    </row>
    <row r="19" spans="1:14" x14ac:dyDescent="0.3">
      <c r="A19" t="s">
        <v>59</v>
      </c>
      <c r="B19" s="1">
        <v>45235</v>
      </c>
      <c r="C19" t="s">
        <v>14</v>
      </c>
      <c r="D19" t="s">
        <v>15</v>
      </c>
      <c r="E19" t="s">
        <v>44</v>
      </c>
      <c r="F19" t="s">
        <v>28</v>
      </c>
      <c r="G19">
        <v>8</v>
      </c>
      <c r="H19">
        <v>7497</v>
      </c>
      <c r="I19">
        <v>8996.4</v>
      </c>
      <c r="J19" t="s">
        <v>29</v>
      </c>
      <c r="K19" t="s">
        <v>41</v>
      </c>
      <c r="L19" t="s">
        <v>37</v>
      </c>
      <c r="M19" t="s">
        <v>21</v>
      </c>
      <c r="N19">
        <v>50979.6</v>
      </c>
    </row>
    <row r="20" spans="1:14" x14ac:dyDescent="0.3">
      <c r="A20" t="s">
        <v>60</v>
      </c>
      <c r="B20" s="1">
        <v>45184</v>
      </c>
      <c r="C20" t="s">
        <v>14</v>
      </c>
      <c r="D20" t="s">
        <v>43</v>
      </c>
      <c r="E20" t="s">
        <v>44</v>
      </c>
      <c r="F20" t="s">
        <v>35</v>
      </c>
      <c r="G20">
        <v>8</v>
      </c>
      <c r="H20">
        <v>3284</v>
      </c>
      <c r="I20">
        <v>5254.4000000000005</v>
      </c>
      <c r="J20" t="s">
        <v>36</v>
      </c>
      <c r="K20" t="s">
        <v>30</v>
      </c>
      <c r="L20" t="s">
        <v>37</v>
      </c>
      <c r="M20" t="s">
        <v>33</v>
      </c>
      <c r="N20">
        <v>21017.599999999999</v>
      </c>
    </row>
    <row r="21" spans="1:14" x14ac:dyDescent="0.3">
      <c r="A21" t="s">
        <v>61</v>
      </c>
      <c r="B21" s="1">
        <v>45270</v>
      </c>
      <c r="C21" t="s">
        <v>26</v>
      </c>
      <c r="D21" t="s">
        <v>43</v>
      </c>
      <c r="E21" t="s">
        <v>16</v>
      </c>
      <c r="F21" t="s">
        <v>35</v>
      </c>
      <c r="G21">
        <v>1</v>
      </c>
      <c r="H21">
        <v>30529</v>
      </c>
      <c r="I21">
        <v>1526.45</v>
      </c>
      <c r="J21" t="s">
        <v>29</v>
      </c>
      <c r="K21" t="s">
        <v>30</v>
      </c>
      <c r="L21" t="s">
        <v>20</v>
      </c>
      <c r="M21" t="s">
        <v>24</v>
      </c>
      <c r="N21">
        <v>29002.55</v>
      </c>
    </row>
    <row r="22" spans="1:14" x14ac:dyDescent="0.3">
      <c r="A22" t="s">
        <v>62</v>
      </c>
      <c r="B22" s="1">
        <v>45220</v>
      </c>
      <c r="C22" t="s">
        <v>39</v>
      </c>
      <c r="D22" t="s">
        <v>43</v>
      </c>
      <c r="E22" t="s">
        <v>27</v>
      </c>
      <c r="F22" t="s">
        <v>47</v>
      </c>
      <c r="G22">
        <v>8</v>
      </c>
      <c r="H22">
        <v>11310</v>
      </c>
      <c r="I22">
        <v>4524</v>
      </c>
      <c r="J22" t="s">
        <v>36</v>
      </c>
      <c r="K22" t="s">
        <v>41</v>
      </c>
      <c r="L22" t="s">
        <v>37</v>
      </c>
      <c r="M22" t="s">
        <v>21</v>
      </c>
      <c r="N22">
        <v>85956</v>
      </c>
    </row>
    <row r="23" spans="1:14" x14ac:dyDescent="0.3">
      <c r="A23" t="s">
        <v>63</v>
      </c>
      <c r="B23" s="1">
        <v>45118</v>
      </c>
      <c r="C23" t="s">
        <v>46</v>
      </c>
      <c r="D23" t="s">
        <v>15</v>
      </c>
      <c r="E23" t="s">
        <v>16</v>
      </c>
      <c r="F23" t="s">
        <v>49</v>
      </c>
      <c r="G23">
        <v>3</v>
      </c>
      <c r="H23">
        <v>931</v>
      </c>
      <c r="I23">
        <v>0</v>
      </c>
      <c r="J23" t="s">
        <v>50</v>
      </c>
      <c r="K23" t="s">
        <v>19</v>
      </c>
      <c r="L23" t="s">
        <v>20</v>
      </c>
      <c r="M23" t="s">
        <v>24</v>
      </c>
      <c r="N23">
        <v>2793</v>
      </c>
    </row>
    <row r="24" spans="1:14" x14ac:dyDescent="0.3">
      <c r="A24" t="s">
        <v>64</v>
      </c>
      <c r="B24" s="1">
        <v>45203</v>
      </c>
      <c r="C24" t="s">
        <v>46</v>
      </c>
      <c r="D24" t="s">
        <v>15</v>
      </c>
      <c r="E24" t="s">
        <v>27</v>
      </c>
      <c r="F24" t="s">
        <v>49</v>
      </c>
      <c r="G24">
        <v>7</v>
      </c>
      <c r="H24">
        <v>1329</v>
      </c>
      <c r="I24">
        <v>465.15000000000003</v>
      </c>
      <c r="J24" t="s">
        <v>29</v>
      </c>
      <c r="K24" t="s">
        <v>30</v>
      </c>
      <c r="L24" t="s">
        <v>20</v>
      </c>
      <c r="M24" t="s">
        <v>21</v>
      </c>
      <c r="N24">
        <v>8837.85</v>
      </c>
    </row>
    <row r="25" spans="1:14" x14ac:dyDescent="0.3">
      <c r="A25" t="s">
        <v>65</v>
      </c>
      <c r="B25" s="1">
        <v>45087</v>
      </c>
      <c r="C25" t="s">
        <v>32</v>
      </c>
      <c r="D25" t="s">
        <v>43</v>
      </c>
      <c r="E25" t="s">
        <v>16</v>
      </c>
      <c r="F25" t="s">
        <v>35</v>
      </c>
      <c r="G25">
        <v>1</v>
      </c>
      <c r="H25">
        <v>28222</v>
      </c>
      <c r="I25">
        <v>0</v>
      </c>
      <c r="J25" t="s">
        <v>29</v>
      </c>
      <c r="K25" t="s">
        <v>19</v>
      </c>
      <c r="L25" t="s">
        <v>37</v>
      </c>
      <c r="M25" t="s">
        <v>33</v>
      </c>
      <c r="N25">
        <v>28222</v>
      </c>
    </row>
    <row r="26" spans="1:14" x14ac:dyDescent="0.3">
      <c r="A26" t="s">
        <v>66</v>
      </c>
      <c r="B26" s="1">
        <v>45240</v>
      </c>
      <c r="C26" t="s">
        <v>39</v>
      </c>
      <c r="D26" t="s">
        <v>15</v>
      </c>
      <c r="E26" t="s">
        <v>27</v>
      </c>
      <c r="F26" t="s">
        <v>17</v>
      </c>
      <c r="G26">
        <v>1</v>
      </c>
      <c r="H26">
        <v>1805</v>
      </c>
      <c r="I26">
        <v>180.5</v>
      </c>
      <c r="J26" t="s">
        <v>36</v>
      </c>
      <c r="K26" t="s">
        <v>41</v>
      </c>
      <c r="L26" t="s">
        <v>20</v>
      </c>
      <c r="M26" t="s">
        <v>24</v>
      </c>
      <c r="N26">
        <v>1624.5</v>
      </c>
    </row>
    <row r="27" spans="1:14" x14ac:dyDescent="0.3">
      <c r="A27" t="s">
        <v>67</v>
      </c>
      <c r="B27" s="1">
        <v>44948</v>
      </c>
      <c r="C27" t="s">
        <v>14</v>
      </c>
      <c r="D27" t="s">
        <v>15</v>
      </c>
      <c r="E27" t="s">
        <v>44</v>
      </c>
      <c r="F27" t="s">
        <v>17</v>
      </c>
      <c r="G27">
        <v>5</v>
      </c>
      <c r="H27">
        <v>12170</v>
      </c>
      <c r="I27">
        <v>6085</v>
      </c>
      <c r="J27" t="s">
        <v>36</v>
      </c>
      <c r="K27" t="s">
        <v>19</v>
      </c>
      <c r="L27" t="s">
        <v>37</v>
      </c>
      <c r="M27" t="s">
        <v>24</v>
      </c>
      <c r="N27">
        <v>54765</v>
      </c>
    </row>
    <row r="28" spans="1:14" x14ac:dyDescent="0.3">
      <c r="A28" t="s">
        <v>68</v>
      </c>
      <c r="B28" s="1">
        <v>45179</v>
      </c>
      <c r="C28" t="s">
        <v>26</v>
      </c>
      <c r="D28" t="s">
        <v>43</v>
      </c>
      <c r="E28" t="s">
        <v>27</v>
      </c>
      <c r="F28" t="s">
        <v>28</v>
      </c>
      <c r="G28">
        <v>5</v>
      </c>
      <c r="H28">
        <v>43905</v>
      </c>
      <c r="I28">
        <v>21952.5</v>
      </c>
      <c r="J28" t="s">
        <v>18</v>
      </c>
      <c r="K28" t="s">
        <v>30</v>
      </c>
      <c r="L28" t="s">
        <v>23</v>
      </c>
      <c r="M28" t="s">
        <v>21</v>
      </c>
      <c r="N28">
        <v>197572.5</v>
      </c>
    </row>
    <row r="29" spans="1:14" x14ac:dyDescent="0.3">
      <c r="A29" t="s">
        <v>69</v>
      </c>
      <c r="B29" s="1">
        <v>45162</v>
      </c>
      <c r="C29" t="s">
        <v>32</v>
      </c>
      <c r="D29" t="s">
        <v>15</v>
      </c>
      <c r="E29" t="s">
        <v>16</v>
      </c>
      <c r="F29" t="s">
        <v>28</v>
      </c>
      <c r="G29">
        <v>8</v>
      </c>
      <c r="H29">
        <v>44330</v>
      </c>
      <c r="I29">
        <v>17732</v>
      </c>
      <c r="J29" t="s">
        <v>36</v>
      </c>
      <c r="K29" t="s">
        <v>19</v>
      </c>
      <c r="L29" t="s">
        <v>23</v>
      </c>
      <c r="M29" t="s">
        <v>24</v>
      </c>
      <c r="N29">
        <v>336908</v>
      </c>
    </row>
    <row r="30" spans="1:14" x14ac:dyDescent="0.3">
      <c r="A30" t="s">
        <v>70</v>
      </c>
      <c r="B30" s="1">
        <v>45271</v>
      </c>
      <c r="C30" t="s">
        <v>46</v>
      </c>
      <c r="D30" t="s">
        <v>40</v>
      </c>
      <c r="E30" t="s">
        <v>44</v>
      </c>
      <c r="F30" t="s">
        <v>47</v>
      </c>
      <c r="G30">
        <v>7</v>
      </c>
      <c r="H30">
        <v>29465</v>
      </c>
      <c r="I30">
        <v>10312.75</v>
      </c>
      <c r="J30" t="s">
        <v>36</v>
      </c>
      <c r="K30" t="s">
        <v>19</v>
      </c>
      <c r="L30" t="s">
        <v>37</v>
      </c>
      <c r="M30" t="s">
        <v>21</v>
      </c>
      <c r="N30">
        <v>195942.25</v>
      </c>
    </row>
    <row r="31" spans="1:14" x14ac:dyDescent="0.3">
      <c r="A31" t="s">
        <v>71</v>
      </c>
      <c r="B31" s="1">
        <v>44975</v>
      </c>
      <c r="C31" t="s">
        <v>14</v>
      </c>
      <c r="D31" t="s">
        <v>40</v>
      </c>
      <c r="E31" t="s">
        <v>27</v>
      </c>
      <c r="F31" t="s">
        <v>35</v>
      </c>
      <c r="G31">
        <v>8</v>
      </c>
      <c r="H31">
        <v>32530</v>
      </c>
      <c r="I31">
        <v>0</v>
      </c>
      <c r="J31" t="s">
        <v>18</v>
      </c>
      <c r="K31" t="s">
        <v>30</v>
      </c>
      <c r="L31" t="s">
        <v>37</v>
      </c>
      <c r="M31" t="s">
        <v>33</v>
      </c>
      <c r="N31">
        <v>260240</v>
      </c>
    </row>
    <row r="32" spans="1:14" x14ac:dyDescent="0.3">
      <c r="A32" t="s">
        <v>72</v>
      </c>
      <c r="B32" s="1">
        <v>44985</v>
      </c>
      <c r="C32" t="s">
        <v>14</v>
      </c>
      <c r="D32" t="s">
        <v>40</v>
      </c>
      <c r="E32" t="s">
        <v>27</v>
      </c>
      <c r="F32" t="s">
        <v>28</v>
      </c>
      <c r="G32">
        <v>6</v>
      </c>
      <c r="H32">
        <v>3133</v>
      </c>
      <c r="I32">
        <v>2819.7</v>
      </c>
      <c r="J32" t="s">
        <v>36</v>
      </c>
      <c r="K32" t="s">
        <v>30</v>
      </c>
      <c r="L32" t="s">
        <v>37</v>
      </c>
      <c r="M32" t="s">
        <v>24</v>
      </c>
      <c r="N32">
        <v>15978.3</v>
      </c>
    </row>
    <row r="33" spans="1:14" x14ac:dyDescent="0.3">
      <c r="A33" t="s">
        <v>73</v>
      </c>
      <c r="B33" s="1">
        <v>45096</v>
      </c>
      <c r="C33" t="s">
        <v>26</v>
      </c>
      <c r="D33" t="s">
        <v>40</v>
      </c>
      <c r="E33" t="s">
        <v>27</v>
      </c>
      <c r="F33" t="s">
        <v>28</v>
      </c>
      <c r="G33">
        <v>6</v>
      </c>
      <c r="H33">
        <v>15387</v>
      </c>
      <c r="I33">
        <v>0</v>
      </c>
      <c r="J33" t="s">
        <v>36</v>
      </c>
      <c r="K33" t="s">
        <v>19</v>
      </c>
      <c r="L33" t="s">
        <v>37</v>
      </c>
      <c r="M33" t="s">
        <v>21</v>
      </c>
      <c r="N33">
        <v>92322</v>
      </c>
    </row>
    <row r="34" spans="1:14" x14ac:dyDescent="0.3">
      <c r="A34" t="s">
        <v>74</v>
      </c>
      <c r="B34" s="1">
        <v>45114</v>
      </c>
      <c r="C34" t="s">
        <v>46</v>
      </c>
      <c r="D34" t="s">
        <v>43</v>
      </c>
      <c r="E34" t="s">
        <v>27</v>
      </c>
      <c r="F34" t="s">
        <v>35</v>
      </c>
      <c r="G34">
        <v>2</v>
      </c>
      <c r="H34">
        <v>25991</v>
      </c>
      <c r="I34">
        <v>5198.2000000000007</v>
      </c>
      <c r="J34" t="s">
        <v>18</v>
      </c>
      <c r="K34" t="s">
        <v>19</v>
      </c>
      <c r="L34" t="s">
        <v>23</v>
      </c>
      <c r="M34" t="s">
        <v>24</v>
      </c>
      <c r="N34">
        <v>46783.8</v>
      </c>
    </row>
    <row r="35" spans="1:14" x14ac:dyDescent="0.3">
      <c r="A35" t="s">
        <v>75</v>
      </c>
      <c r="B35" s="1">
        <v>45197</v>
      </c>
      <c r="C35" t="s">
        <v>39</v>
      </c>
      <c r="D35" t="s">
        <v>43</v>
      </c>
      <c r="E35" t="s">
        <v>27</v>
      </c>
      <c r="F35" t="s">
        <v>47</v>
      </c>
      <c r="G35">
        <v>6</v>
      </c>
      <c r="H35">
        <v>25100</v>
      </c>
      <c r="I35">
        <v>0</v>
      </c>
      <c r="J35" t="s">
        <v>50</v>
      </c>
      <c r="K35" t="s">
        <v>41</v>
      </c>
      <c r="L35" t="s">
        <v>20</v>
      </c>
      <c r="M35" t="s">
        <v>21</v>
      </c>
      <c r="N35">
        <v>150600</v>
      </c>
    </row>
    <row r="36" spans="1:14" x14ac:dyDescent="0.3">
      <c r="A36" t="s">
        <v>76</v>
      </c>
      <c r="B36" s="1">
        <v>45116</v>
      </c>
      <c r="C36" t="s">
        <v>14</v>
      </c>
      <c r="D36" t="s">
        <v>43</v>
      </c>
      <c r="E36" t="s">
        <v>44</v>
      </c>
      <c r="F36" t="s">
        <v>28</v>
      </c>
      <c r="G36">
        <v>5</v>
      </c>
      <c r="H36">
        <v>5274</v>
      </c>
      <c r="I36">
        <v>3955.5</v>
      </c>
      <c r="J36" t="s">
        <v>50</v>
      </c>
      <c r="K36" t="s">
        <v>30</v>
      </c>
      <c r="L36" t="s">
        <v>20</v>
      </c>
      <c r="M36" t="s">
        <v>21</v>
      </c>
      <c r="N36">
        <v>22414.5</v>
      </c>
    </row>
    <row r="37" spans="1:14" x14ac:dyDescent="0.3">
      <c r="A37" t="s">
        <v>77</v>
      </c>
      <c r="B37" s="1">
        <v>45101</v>
      </c>
      <c r="C37" t="s">
        <v>26</v>
      </c>
      <c r="D37" t="s">
        <v>40</v>
      </c>
      <c r="E37" t="s">
        <v>44</v>
      </c>
      <c r="F37" t="s">
        <v>47</v>
      </c>
      <c r="G37">
        <v>3</v>
      </c>
      <c r="H37">
        <v>47005</v>
      </c>
      <c r="I37">
        <v>7050.75</v>
      </c>
      <c r="J37" t="s">
        <v>36</v>
      </c>
      <c r="K37" t="s">
        <v>19</v>
      </c>
      <c r="L37" t="s">
        <v>23</v>
      </c>
      <c r="M37" t="s">
        <v>21</v>
      </c>
      <c r="N37">
        <v>133964.25</v>
      </c>
    </row>
    <row r="38" spans="1:14" x14ac:dyDescent="0.3">
      <c r="A38" t="s">
        <v>78</v>
      </c>
      <c r="B38" s="1">
        <v>44977</v>
      </c>
      <c r="C38" t="s">
        <v>39</v>
      </c>
      <c r="D38" t="s">
        <v>40</v>
      </c>
      <c r="E38" t="s">
        <v>44</v>
      </c>
      <c r="F38" t="s">
        <v>49</v>
      </c>
      <c r="G38">
        <v>6</v>
      </c>
      <c r="H38">
        <v>26626</v>
      </c>
      <c r="I38">
        <v>0</v>
      </c>
      <c r="J38" t="s">
        <v>36</v>
      </c>
      <c r="K38" t="s">
        <v>30</v>
      </c>
      <c r="L38" t="s">
        <v>20</v>
      </c>
      <c r="M38" t="s">
        <v>33</v>
      </c>
      <c r="N38">
        <v>159756</v>
      </c>
    </row>
    <row r="39" spans="1:14" x14ac:dyDescent="0.3">
      <c r="A39" t="s">
        <v>79</v>
      </c>
      <c r="B39" s="1">
        <v>45290</v>
      </c>
      <c r="C39" t="s">
        <v>46</v>
      </c>
      <c r="D39" t="s">
        <v>15</v>
      </c>
      <c r="E39" t="s">
        <v>44</v>
      </c>
      <c r="F39" t="s">
        <v>47</v>
      </c>
      <c r="G39">
        <v>8</v>
      </c>
      <c r="H39">
        <v>40067</v>
      </c>
      <c r="I39">
        <v>32053.600000000002</v>
      </c>
      <c r="J39" t="s">
        <v>18</v>
      </c>
      <c r="K39" t="s">
        <v>41</v>
      </c>
      <c r="L39" t="s">
        <v>23</v>
      </c>
      <c r="M39" t="s">
        <v>24</v>
      </c>
      <c r="N39">
        <v>288482.40000000002</v>
      </c>
    </row>
    <row r="40" spans="1:14" x14ac:dyDescent="0.3">
      <c r="A40" t="s">
        <v>80</v>
      </c>
      <c r="B40" s="1">
        <v>44981</v>
      </c>
      <c r="C40" t="s">
        <v>14</v>
      </c>
      <c r="D40" t="s">
        <v>15</v>
      </c>
      <c r="E40" t="s">
        <v>16</v>
      </c>
      <c r="F40" t="s">
        <v>17</v>
      </c>
      <c r="G40">
        <v>9</v>
      </c>
      <c r="H40">
        <v>1093</v>
      </c>
      <c r="I40">
        <v>983.7</v>
      </c>
      <c r="J40" t="s">
        <v>18</v>
      </c>
      <c r="K40" t="s">
        <v>19</v>
      </c>
      <c r="L40" t="s">
        <v>20</v>
      </c>
      <c r="M40" t="s">
        <v>33</v>
      </c>
      <c r="N40">
        <v>8853.2999999999993</v>
      </c>
    </row>
    <row r="41" spans="1:14" x14ac:dyDescent="0.3">
      <c r="A41" t="s">
        <v>81</v>
      </c>
      <c r="B41" s="1">
        <v>45170</v>
      </c>
      <c r="C41" t="s">
        <v>39</v>
      </c>
      <c r="D41" t="s">
        <v>40</v>
      </c>
      <c r="E41" t="s">
        <v>44</v>
      </c>
      <c r="F41" t="s">
        <v>17</v>
      </c>
      <c r="G41">
        <v>1</v>
      </c>
      <c r="H41">
        <v>34358</v>
      </c>
      <c r="I41">
        <v>1717.9</v>
      </c>
      <c r="J41" t="s">
        <v>50</v>
      </c>
      <c r="K41" t="s">
        <v>19</v>
      </c>
      <c r="L41" t="s">
        <v>37</v>
      </c>
      <c r="M41" t="s">
        <v>21</v>
      </c>
      <c r="N41">
        <v>32640.1</v>
      </c>
    </row>
    <row r="42" spans="1:14" x14ac:dyDescent="0.3">
      <c r="A42" t="s">
        <v>82</v>
      </c>
      <c r="B42" s="1">
        <v>45246</v>
      </c>
      <c r="C42" t="s">
        <v>39</v>
      </c>
      <c r="D42" t="s">
        <v>40</v>
      </c>
      <c r="E42" t="s">
        <v>27</v>
      </c>
      <c r="F42" t="s">
        <v>47</v>
      </c>
      <c r="G42">
        <v>3</v>
      </c>
      <c r="H42">
        <v>19973</v>
      </c>
      <c r="I42">
        <v>0</v>
      </c>
      <c r="J42" t="s">
        <v>29</v>
      </c>
      <c r="K42" t="s">
        <v>19</v>
      </c>
      <c r="L42" t="s">
        <v>37</v>
      </c>
      <c r="M42" t="s">
        <v>21</v>
      </c>
      <c r="N42">
        <v>59919</v>
      </c>
    </row>
    <row r="43" spans="1:14" x14ac:dyDescent="0.3">
      <c r="A43" t="s">
        <v>83</v>
      </c>
      <c r="B43" s="1">
        <v>45057</v>
      </c>
      <c r="C43" t="s">
        <v>39</v>
      </c>
      <c r="D43" t="s">
        <v>40</v>
      </c>
      <c r="E43" t="s">
        <v>27</v>
      </c>
      <c r="F43" t="s">
        <v>17</v>
      </c>
      <c r="G43">
        <v>3</v>
      </c>
      <c r="H43">
        <v>4439</v>
      </c>
      <c r="I43">
        <v>1997.55</v>
      </c>
      <c r="J43" t="s">
        <v>36</v>
      </c>
      <c r="K43" t="s">
        <v>30</v>
      </c>
      <c r="L43" t="s">
        <v>37</v>
      </c>
      <c r="M43" t="s">
        <v>33</v>
      </c>
      <c r="N43">
        <v>11319.449999999901</v>
      </c>
    </row>
    <row r="44" spans="1:14" x14ac:dyDescent="0.3">
      <c r="A44" t="s">
        <v>84</v>
      </c>
      <c r="B44" s="1">
        <v>45233</v>
      </c>
      <c r="C44" t="s">
        <v>14</v>
      </c>
      <c r="D44" t="s">
        <v>40</v>
      </c>
      <c r="E44" t="s">
        <v>44</v>
      </c>
      <c r="F44" t="s">
        <v>49</v>
      </c>
      <c r="G44">
        <v>8</v>
      </c>
      <c r="H44">
        <v>21063</v>
      </c>
      <c r="I44">
        <v>8425.2000000000007</v>
      </c>
      <c r="J44" t="s">
        <v>29</v>
      </c>
      <c r="K44" t="s">
        <v>41</v>
      </c>
      <c r="L44" t="s">
        <v>23</v>
      </c>
      <c r="M44" t="s">
        <v>33</v>
      </c>
      <c r="N44">
        <v>160078.79999999999</v>
      </c>
    </row>
    <row r="45" spans="1:14" x14ac:dyDescent="0.3">
      <c r="A45" t="s">
        <v>85</v>
      </c>
      <c r="B45" s="1">
        <v>45061</v>
      </c>
      <c r="C45" t="s">
        <v>14</v>
      </c>
      <c r="D45" t="s">
        <v>15</v>
      </c>
      <c r="E45" t="s">
        <v>27</v>
      </c>
      <c r="F45" t="s">
        <v>35</v>
      </c>
      <c r="G45">
        <v>1</v>
      </c>
      <c r="H45">
        <v>3632</v>
      </c>
      <c r="I45">
        <v>0</v>
      </c>
      <c r="J45" t="s">
        <v>29</v>
      </c>
      <c r="K45" t="s">
        <v>30</v>
      </c>
      <c r="L45" t="s">
        <v>23</v>
      </c>
      <c r="M45" t="s">
        <v>24</v>
      </c>
      <c r="N45">
        <v>3632</v>
      </c>
    </row>
    <row r="46" spans="1:14" x14ac:dyDescent="0.3">
      <c r="A46" t="s">
        <v>86</v>
      </c>
      <c r="B46" s="1">
        <v>44947</v>
      </c>
      <c r="C46" t="s">
        <v>32</v>
      </c>
      <c r="D46" t="s">
        <v>40</v>
      </c>
      <c r="E46" t="s">
        <v>44</v>
      </c>
      <c r="F46" t="s">
        <v>17</v>
      </c>
      <c r="G46">
        <v>5</v>
      </c>
      <c r="H46">
        <v>35339</v>
      </c>
      <c r="I46">
        <v>35339</v>
      </c>
      <c r="J46" t="s">
        <v>18</v>
      </c>
      <c r="K46" t="s">
        <v>19</v>
      </c>
      <c r="L46" t="s">
        <v>20</v>
      </c>
      <c r="M46" t="s">
        <v>21</v>
      </c>
      <c r="N46">
        <v>141356</v>
      </c>
    </row>
    <row r="47" spans="1:14" x14ac:dyDescent="0.3">
      <c r="A47" t="s">
        <v>87</v>
      </c>
      <c r="B47" s="1">
        <v>45255</v>
      </c>
      <c r="C47" t="s">
        <v>46</v>
      </c>
      <c r="D47" t="s">
        <v>15</v>
      </c>
      <c r="E47" t="s">
        <v>27</v>
      </c>
      <c r="F47" t="s">
        <v>17</v>
      </c>
      <c r="G47">
        <v>3</v>
      </c>
      <c r="H47">
        <v>1715</v>
      </c>
      <c r="I47">
        <v>514.5</v>
      </c>
      <c r="J47" t="s">
        <v>36</v>
      </c>
      <c r="K47" t="s">
        <v>41</v>
      </c>
      <c r="L47" t="s">
        <v>20</v>
      </c>
      <c r="M47" t="s">
        <v>33</v>
      </c>
      <c r="N47">
        <v>4630.5</v>
      </c>
    </row>
    <row r="48" spans="1:14" x14ac:dyDescent="0.3">
      <c r="A48" t="s">
        <v>88</v>
      </c>
      <c r="B48" s="1">
        <v>45093</v>
      </c>
      <c r="C48" t="s">
        <v>26</v>
      </c>
      <c r="D48" t="s">
        <v>40</v>
      </c>
      <c r="E48" t="s">
        <v>16</v>
      </c>
      <c r="F48" t="s">
        <v>47</v>
      </c>
      <c r="G48">
        <v>2</v>
      </c>
      <c r="H48">
        <v>31870</v>
      </c>
      <c r="I48">
        <v>9561</v>
      </c>
      <c r="J48" t="s">
        <v>36</v>
      </c>
      <c r="K48" t="s">
        <v>19</v>
      </c>
      <c r="L48" t="s">
        <v>20</v>
      </c>
      <c r="M48" t="s">
        <v>21</v>
      </c>
      <c r="N48">
        <v>54179</v>
      </c>
    </row>
    <row r="49" spans="1:14" x14ac:dyDescent="0.3">
      <c r="A49" t="s">
        <v>89</v>
      </c>
      <c r="B49" s="1">
        <v>45200</v>
      </c>
      <c r="C49" t="s">
        <v>39</v>
      </c>
      <c r="D49" t="s">
        <v>40</v>
      </c>
      <c r="E49" t="s">
        <v>16</v>
      </c>
      <c r="F49" t="s">
        <v>49</v>
      </c>
      <c r="G49">
        <v>8</v>
      </c>
      <c r="H49">
        <v>48874</v>
      </c>
      <c r="I49">
        <v>58648.799999999996</v>
      </c>
      <c r="J49" t="s">
        <v>18</v>
      </c>
      <c r="K49" t="s">
        <v>19</v>
      </c>
      <c r="L49" t="s">
        <v>23</v>
      </c>
      <c r="M49" t="s">
        <v>21</v>
      </c>
      <c r="N49">
        <v>332343.2</v>
      </c>
    </row>
    <row r="50" spans="1:14" x14ac:dyDescent="0.3">
      <c r="A50" t="s">
        <v>90</v>
      </c>
      <c r="B50" s="1">
        <v>45015</v>
      </c>
      <c r="C50" t="s">
        <v>32</v>
      </c>
      <c r="D50" t="s">
        <v>40</v>
      </c>
      <c r="E50" t="s">
        <v>44</v>
      </c>
      <c r="F50" t="s">
        <v>35</v>
      </c>
      <c r="G50">
        <v>3</v>
      </c>
      <c r="H50">
        <v>39294</v>
      </c>
      <c r="I50">
        <v>17682.3</v>
      </c>
      <c r="J50" t="s">
        <v>29</v>
      </c>
      <c r="K50" t="s">
        <v>30</v>
      </c>
      <c r="L50" t="s">
        <v>20</v>
      </c>
      <c r="M50" t="s">
        <v>24</v>
      </c>
      <c r="N50">
        <v>100199.7</v>
      </c>
    </row>
    <row r="51" spans="1:14" x14ac:dyDescent="0.3">
      <c r="A51" t="s">
        <v>91</v>
      </c>
      <c r="B51" s="1">
        <v>45242</v>
      </c>
      <c r="C51" t="s">
        <v>26</v>
      </c>
      <c r="D51" t="s">
        <v>15</v>
      </c>
      <c r="E51" t="s">
        <v>44</v>
      </c>
      <c r="F51" t="s">
        <v>47</v>
      </c>
      <c r="G51">
        <v>7</v>
      </c>
      <c r="H51">
        <v>14805</v>
      </c>
      <c r="I51">
        <v>10363.5</v>
      </c>
      <c r="J51" t="s">
        <v>18</v>
      </c>
      <c r="K51" t="s">
        <v>19</v>
      </c>
      <c r="L51" t="s">
        <v>37</v>
      </c>
      <c r="M51" t="s">
        <v>24</v>
      </c>
      <c r="N51">
        <v>93271.5</v>
      </c>
    </row>
    <row r="52" spans="1:14" x14ac:dyDescent="0.3">
      <c r="A52" t="s">
        <v>92</v>
      </c>
      <c r="B52" s="1">
        <v>44940</v>
      </c>
      <c r="C52" t="s">
        <v>32</v>
      </c>
      <c r="D52" t="s">
        <v>15</v>
      </c>
      <c r="E52" t="s">
        <v>44</v>
      </c>
      <c r="F52" t="s">
        <v>47</v>
      </c>
      <c r="G52">
        <v>1</v>
      </c>
      <c r="H52">
        <v>5786</v>
      </c>
      <c r="I52">
        <v>0</v>
      </c>
      <c r="J52" t="s">
        <v>50</v>
      </c>
      <c r="K52" t="s">
        <v>41</v>
      </c>
      <c r="L52" t="s">
        <v>20</v>
      </c>
      <c r="M52" t="s">
        <v>24</v>
      </c>
      <c r="N52">
        <v>5786</v>
      </c>
    </row>
    <row r="53" spans="1:14" x14ac:dyDescent="0.3">
      <c r="A53" t="s">
        <v>93</v>
      </c>
      <c r="B53" s="1">
        <v>45168</v>
      </c>
      <c r="C53" t="s">
        <v>14</v>
      </c>
      <c r="D53" t="s">
        <v>43</v>
      </c>
      <c r="E53" t="s">
        <v>27</v>
      </c>
      <c r="F53" t="s">
        <v>49</v>
      </c>
      <c r="G53">
        <v>6</v>
      </c>
      <c r="H53">
        <v>35885</v>
      </c>
      <c r="I53">
        <v>10765.5</v>
      </c>
      <c r="J53" t="s">
        <v>36</v>
      </c>
      <c r="K53" t="s">
        <v>19</v>
      </c>
      <c r="L53" t="s">
        <v>37</v>
      </c>
      <c r="M53" t="s">
        <v>33</v>
      </c>
      <c r="N53">
        <v>204544.5</v>
      </c>
    </row>
    <row r="54" spans="1:14" x14ac:dyDescent="0.3">
      <c r="A54" t="s">
        <v>94</v>
      </c>
      <c r="B54" s="1">
        <v>45191</v>
      </c>
      <c r="C54" t="s">
        <v>39</v>
      </c>
      <c r="D54" t="s">
        <v>40</v>
      </c>
      <c r="E54" t="s">
        <v>44</v>
      </c>
      <c r="F54" t="s">
        <v>35</v>
      </c>
      <c r="G54">
        <v>3</v>
      </c>
      <c r="H54">
        <v>48869</v>
      </c>
      <c r="I54">
        <v>0</v>
      </c>
      <c r="J54" t="s">
        <v>50</v>
      </c>
      <c r="K54" t="s">
        <v>19</v>
      </c>
      <c r="L54" t="s">
        <v>23</v>
      </c>
      <c r="M54" t="s">
        <v>21</v>
      </c>
      <c r="N54">
        <v>146607</v>
      </c>
    </row>
    <row r="55" spans="1:14" x14ac:dyDescent="0.3">
      <c r="A55" t="s">
        <v>95</v>
      </c>
      <c r="B55" s="1">
        <v>45272</v>
      </c>
      <c r="C55" t="s">
        <v>26</v>
      </c>
      <c r="D55" t="s">
        <v>43</v>
      </c>
      <c r="E55" t="s">
        <v>16</v>
      </c>
      <c r="F55" t="s">
        <v>49</v>
      </c>
      <c r="G55">
        <v>8</v>
      </c>
      <c r="H55">
        <v>31386</v>
      </c>
      <c r="I55">
        <v>12554.400000000001</v>
      </c>
      <c r="J55" t="s">
        <v>18</v>
      </c>
      <c r="K55" t="s">
        <v>30</v>
      </c>
      <c r="L55" t="s">
        <v>37</v>
      </c>
      <c r="M55" t="s">
        <v>33</v>
      </c>
      <c r="N55">
        <v>238533.59999999899</v>
      </c>
    </row>
    <row r="56" spans="1:14" x14ac:dyDescent="0.3">
      <c r="A56" t="s">
        <v>96</v>
      </c>
      <c r="B56" s="1">
        <v>44979</v>
      </c>
      <c r="C56" t="s">
        <v>26</v>
      </c>
      <c r="D56" t="s">
        <v>43</v>
      </c>
      <c r="E56" t="s">
        <v>27</v>
      </c>
      <c r="F56" t="s">
        <v>35</v>
      </c>
      <c r="G56">
        <v>6</v>
      </c>
      <c r="H56">
        <v>27128</v>
      </c>
      <c r="I56">
        <v>24415.200000000001</v>
      </c>
      <c r="J56" t="s">
        <v>36</v>
      </c>
      <c r="K56" t="s">
        <v>41</v>
      </c>
      <c r="L56" t="s">
        <v>37</v>
      </c>
      <c r="M56" t="s">
        <v>33</v>
      </c>
      <c r="N56">
        <v>138352.79999999999</v>
      </c>
    </row>
    <row r="57" spans="1:14" x14ac:dyDescent="0.3">
      <c r="A57" t="s">
        <v>97</v>
      </c>
      <c r="B57" s="1">
        <v>45266</v>
      </c>
      <c r="C57" t="s">
        <v>26</v>
      </c>
      <c r="D57" t="s">
        <v>15</v>
      </c>
      <c r="E57" t="s">
        <v>44</v>
      </c>
      <c r="F57" t="s">
        <v>49</v>
      </c>
      <c r="G57">
        <v>2</v>
      </c>
      <c r="H57">
        <v>32928</v>
      </c>
      <c r="I57">
        <v>0</v>
      </c>
      <c r="J57" t="s">
        <v>50</v>
      </c>
      <c r="K57" t="s">
        <v>30</v>
      </c>
      <c r="L57" t="s">
        <v>37</v>
      </c>
      <c r="M57" t="s">
        <v>24</v>
      </c>
      <c r="N57">
        <v>65856</v>
      </c>
    </row>
    <row r="58" spans="1:14" x14ac:dyDescent="0.3">
      <c r="A58" t="s">
        <v>98</v>
      </c>
      <c r="B58" s="1">
        <v>45018</v>
      </c>
      <c r="C58" t="s">
        <v>26</v>
      </c>
      <c r="D58" t="s">
        <v>15</v>
      </c>
      <c r="E58" t="s">
        <v>27</v>
      </c>
      <c r="F58" t="s">
        <v>47</v>
      </c>
      <c r="G58">
        <v>6</v>
      </c>
      <c r="H58">
        <v>17751</v>
      </c>
      <c r="I58">
        <v>15975.9</v>
      </c>
      <c r="J58" t="s">
        <v>50</v>
      </c>
      <c r="K58" t="s">
        <v>19</v>
      </c>
      <c r="L58" t="s">
        <v>23</v>
      </c>
      <c r="M58" t="s">
        <v>21</v>
      </c>
      <c r="N58">
        <v>90530.099999999904</v>
      </c>
    </row>
    <row r="59" spans="1:14" x14ac:dyDescent="0.3">
      <c r="A59" t="s">
        <v>99</v>
      </c>
      <c r="B59" s="1">
        <v>45190</v>
      </c>
      <c r="C59" t="s">
        <v>26</v>
      </c>
      <c r="D59" t="s">
        <v>43</v>
      </c>
      <c r="E59" t="s">
        <v>27</v>
      </c>
      <c r="F59" t="s">
        <v>47</v>
      </c>
      <c r="G59">
        <v>7</v>
      </c>
      <c r="H59">
        <v>21693</v>
      </c>
      <c r="I59">
        <v>30370.2</v>
      </c>
      <c r="J59" t="s">
        <v>29</v>
      </c>
      <c r="K59" t="s">
        <v>30</v>
      </c>
      <c r="L59" t="s">
        <v>23</v>
      </c>
      <c r="M59" t="s">
        <v>21</v>
      </c>
      <c r="N59">
        <v>121480.8</v>
      </c>
    </row>
    <row r="60" spans="1:14" x14ac:dyDescent="0.3">
      <c r="A60" t="s">
        <v>100</v>
      </c>
      <c r="B60" s="1">
        <v>44961</v>
      </c>
      <c r="C60" t="s">
        <v>32</v>
      </c>
      <c r="D60" t="s">
        <v>40</v>
      </c>
      <c r="E60" t="s">
        <v>44</v>
      </c>
      <c r="F60" t="s">
        <v>28</v>
      </c>
      <c r="G60">
        <v>5</v>
      </c>
      <c r="H60">
        <v>20911</v>
      </c>
      <c r="I60">
        <v>15683.25</v>
      </c>
      <c r="J60" t="s">
        <v>36</v>
      </c>
      <c r="K60" t="s">
        <v>30</v>
      </c>
      <c r="L60" t="s">
        <v>23</v>
      </c>
      <c r="M60" t="s">
        <v>24</v>
      </c>
      <c r="N60">
        <v>88871.75</v>
      </c>
    </row>
    <row r="61" spans="1:14" x14ac:dyDescent="0.3">
      <c r="A61" t="s">
        <v>101</v>
      </c>
      <c r="B61" s="1">
        <v>45132</v>
      </c>
      <c r="C61" t="s">
        <v>39</v>
      </c>
      <c r="D61" t="s">
        <v>15</v>
      </c>
      <c r="E61" t="s">
        <v>27</v>
      </c>
      <c r="F61" t="s">
        <v>17</v>
      </c>
      <c r="G61">
        <v>3</v>
      </c>
      <c r="H61">
        <v>20239</v>
      </c>
      <c r="I61">
        <v>9107.5499999999993</v>
      </c>
      <c r="J61" t="s">
        <v>50</v>
      </c>
      <c r="K61" t="s">
        <v>30</v>
      </c>
      <c r="L61" t="s">
        <v>23</v>
      </c>
      <c r="M61" t="s">
        <v>21</v>
      </c>
      <c r="N61">
        <v>51609.45</v>
      </c>
    </row>
    <row r="62" spans="1:14" x14ac:dyDescent="0.3">
      <c r="A62" t="s">
        <v>102</v>
      </c>
      <c r="B62" s="1">
        <v>45007</v>
      </c>
      <c r="C62" t="s">
        <v>14</v>
      </c>
      <c r="D62" t="s">
        <v>40</v>
      </c>
      <c r="E62" t="s">
        <v>16</v>
      </c>
      <c r="F62" t="s">
        <v>49</v>
      </c>
      <c r="G62">
        <v>4</v>
      </c>
      <c r="H62">
        <v>36761</v>
      </c>
      <c r="I62">
        <v>7352.2000000000007</v>
      </c>
      <c r="J62" t="s">
        <v>50</v>
      </c>
      <c r="K62" t="s">
        <v>30</v>
      </c>
      <c r="L62" t="s">
        <v>20</v>
      </c>
      <c r="M62" t="s">
        <v>24</v>
      </c>
      <c r="N62">
        <v>139691.79999999999</v>
      </c>
    </row>
    <row r="63" spans="1:14" x14ac:dyDescent="0.3">
      <c r="A63" t="s">
        <v>103</v>
      </c>
      <c r="B63" s="1">
        <v>44976</v>
      </c>
      <c r="C63" t="s">
        <v>14</v>
      </c>
      <c r="D63" t="s">
        <v>40</v>
      </c>
      <c r="E63" t="s">
        <v>16</v>
      </c>
      <c r="F63" t="s">
        <v>28</v>
      </c>
      <c r="G63">
        <v>4</v>
      </c>
      <c r="H63">
        <v>10147</v>
      </c>
      <c r="I63">
        <v>8117.6</v>
      </c>
      <c r="J63" t="s">
        <v>29</v>
      </c>
      <c r="K63" t="s">
        <v>19</v>
      </c>
      <c r="L63" t="s">
        <v>23</v>
      </c>
      <c r="M63" t="s">
        <v>33</v>
      </c>
      <c r="N63">
        <v>32470.400000000001</v>
      </c>
    </row>
    <row r="64" spans="1:14" x14ac:dyDescent="0.3">
      <c r="A64" t="s">
        <v>104</v>
      </c>
      <c r="B64" s="1">
        <v>45286</v>
      </c>
      <c r="C64" t="s">
        <v>14</v>
      </c>
      <c r="D64" t="s">
        <v>43</v>
      </c>
      <c r="E64" t="s">
        <v>27</v>
      </c>
      <c r="F64" t="s">
        <v>17</v>
      </c>
      <c r="G64">
        <v>6</v>
      </c>
      <c r="H64">
        <v>32535</v>
      </c>
      <c r="I64">
        <v>29281.5</v>
      </c>
      <c r="J64" t="s">
        <v>50</v>
      </c>
      <c r="K64" t="s">
        <v>19</v>
      </c>
      <c r="L64" t="s">
        <v>37</v>
      </c>
      <c r="M64" t="s">
        <v>33</v>
      </c>
      <c r="N64">
        <v>165928.5</v>
      </c>
    </row>
    <row r="65" spans="1:14" x14ac:dyDescent="0.3">
      <c r="A65" t="s">
        <v>105</v>
      </c>
      <c r="B65" s="1">
        <v>44928</v>
      </c>
      <c r="C65" t="s">
        <v>14</v>
      </c>
      <c r="D65" t="s">
        <v>43</v>
      </c>
      <c r="E65" t="s">
        <v>44</v>
      </c>
      <c r="F65" t="s">
        <v>49</v>
      </c>
      <c r="G65">
        <v>1</v>
      </c>
      <c r="H65">
        <v>16059</v>
      </c>
      <c r="I65">
        <v>2408.85</v>
      </c>
      <c r="J65" t="s">
        <v>50</v>
      </c>
      <c r="K65" t="s">
        <v>41</v>
      </c>
      <c r="L65" t="s">
        <v>23</v>
      </c>
      <c r="M65" t="s">
        <v>24</v>
      </c>
      <c r="N65">
        <v>13650.15</v>
      </c>
    </row>
    <row r="66" spans="1:14" x14ac:dyDescent="0.3">
      <c r="A66" t="s">
        <v>106</v>
      </c>
      <c r="B66" s="1">
        <v>44980</v>
      </c>
      <c r="C66" t="s">
        <v>32</v>
      </c>
      <c r="D66" t="s">
        <v>43</v>
      </c>
      <c r="E66" t="s">
        <v>27</v>
      </c>
      <c r="F66" t="s">
        <v>35</v>
      </c>
      <c r="G66">
        <v>4</v>
      </c>
      <c r="H66">
        <v>23322</v>
      </c>
      <c r="I66">
        <v>18657.600000000002</v>
      </c>
      <c r="J66" t="s">
        <v>50</v>
      </c>
      <c r="K66" t="s">
        <v>30</v>
      </c>
      <c r="L66" t="s">
        <v>20</v>
      </c>
      <c r="M66" t="s">
        <v>33</v>
      </c>
      <c r="N66">
        <v>74630.399999999994</v>
      </c>
    </row>
    <row r="67" spans="1:14" x14ac:dyDescent="0.3">
      <c r="A67" t="s">
        <v>107</v>
      </c>
      <c r="B67" s="1">
        <v>45032</v>
      </c>
      <c r="C67" t="s">
        <v>46</v>
      </c>
      <c r="D67" t="s">
        <v>43</v>
      </c>
      <c r="E67" t="s">
        <v>16</v>
      </c>
      <c r="F67" t="s">
        <v>17</v>
      </c>
      <c r="G67">
        <v>4</v>
      </c>
      <c r="H67">
        <v>1777</v>
      </c>
      <c r="I67">
        <v>1421.6000000000001</v>
      </c>
      <c r="J67" t="s">
        <v>29</v>
      </c>
      <c r="K67" t="s">
        <v>30</v>
      </c>
      <c r="L67" t="s">
        <v>20</v>
      </c>
      <c r="M67" t="s">
        <v>33</v>
      </c>
      <c r="N67">
        <v>5686.4</v>
      </c>
    </row>
    <row r="68" spans="1:14" x14ac:dyDescent="0.3">
      <c r="A68" t="s">
        <v>108</v>
      </c>
      <c r="B68" s="1">
        <v>45186</v>
      </c>
      <c r="C68" t="s">
        <v>39</v>
      </c>
      <c r="D68" t="s">
        <v>15</v>
      </c>
      <c r="E68" t="s">
        <v>27</v>
      </c>
      <c r="F68" t="s">
        <v>47</v>
      </c>
      <c r="G68">
        <v>1</v>
      </c>
      <c r="H68">
        <v>42456</v>
      </c>
      <c r="I68">
        <v>0</v>
      </c>
      <c r="J68" t="s">
        <v>50</v>
      </c>
      <c r="K68" t="s">
        <v>41</v>
      </c>
      <c r="L68" t="s">
        <v>20</v>
      </c>
      <c r="M68" t="s">
        <v>24</v>
      </c>
      <c r="N68">
        <v>42456</v>
      </c>
    </row>
    <row r="69" spans="1:14" x14ac:dyDescent="0.3">
      <c r="A69" t="s">
        <v>109</v>
      </c>
      <c r="B69" s="1">
        <v>45236</v>
      </c>
      <c r="C69" t="s">
        <v>26</v>
      </c>
      <c r="D69" t="s">
        <v>15</v>
      </c>
      <c r="E69" t="s">
        <v>27</v>
      </c>
      <c r="F69" t="s">
        <v>28</v>
      </c>
      <c r="G69">
        <v>9</v>
      </c>
      <c r="H69">
        <v>28550</v>
      </c>
      <c r="I69">
        <v>12847.5</v>
      </c>
      <c r="J69" t="s">
        <v>50</v>
      </c>
      <c r="K69" t="s">
        <v>30</v>
      </c>
      <c r="L69" t="s">
        <v>37</v>
      </c>
      <c r="M69" t="s">
        <v>33</v>
      </c>
      <c r="N69">
        <v>244102.5</v>
      </c>
    </row>
    <row r="70" spans="1:14" x14ac:dyDescent="0.3">
      <c r="A70" t="s">
        <v>110</v>
      </c>
      <c r="B70" s="1">
        <v>45117</v>
      </c>
      <c r="C70" t="s">
        <v>46</v>
      </c>
      <c r="D70" t="s">
        <v>43</v>
      </c>
      <c r="E70" t="s">
        <v>16</v>
      </c>
      <c r="F70" t="s">
        <v>17</v>
      </c>
      <c r="G70">
        <v>4</v>
      </c>
      <c r="H70">
        <v>42132</v>
      </c>
      <c r="I70">
        <v>33705.599999999999</v>
      </c>
      <c r="J70" t="s">
        <v>36</v>
      </c>
      <c r="K70" t="s">
        <v>41</v>
      </c>
      <c r="L70" t="s">
        <v>23</v>
      </c>
      <c r="M70" t="s">
        <v>21</v>
      </c>
      <c r="N70">
        <v>134822.39999999999</v>
      </c>
    </row>
    <row r="71" spans="1:14" x14ac:dyDescent="0.3">
      <c r="A71" t="s">
        <v>111</v>
      </c>
      <c r="B71" s="1">
        <v>45144</v>
      </c>
      <c r="C71" t="s">
        <v>14</v>
      </c>
      <c r="D71" t="s">
        <v>15</v>
      </c>
      <c r="E71" t="s">
        <v>27</v>
      </c>
      <c r="F71" t="s">
        <v>17</v>
      </c>
      <c r="G71">
        <v>7</v>
      </c>
      <c r="H71">
        <v>33998</v>
      </c>
      <c r="I71">
        <v>47597.200000000004</v>
      </c>
      <c r="J71" t="s">
        <v>36</v>
      </c>
      <c r="K71" t="s">
        <v>19</v>
      </c>
      <c r="L71" t="s">
        <v>23</v>
      </c>
      <c r="M71" t="s">
        <v>33</v>
      </c>
      <c r="N71">
        <v>190388.8</v>
      </c>
    </row>
    <row r="72" spans="1:14" x14ac:dyDescent="0.3">
      <c r="A72" t="s">
        <v>112</v>
      </c>
      <c r="B72" s="1">
        <v>44970</v>
      </c>
      <c r="C72" t="s">
        <v>46</v>
      </c>
      <c r="D72" t="s">
        <v>43</v>
      </c>
      <c r="E72" t="s">
        <v>27</v>
      </c>
      <c r="F72" t="s">
        <v>47</v>
      </c>
      <c r="G72">
        <v>3</v>
      </c>
      <c r="H72">
        <v>32098</v>
      </c>
      <c r="I72">
        <v>9629.4</v>
      </c>
      <c r="J72" t="s">
        <v>29</v>
      </c>
      <c r="K72" t="s">
        <v>41</v>
      </c>
      <c r="L72" t="s">
        <v>23</v>
      </c>
      <c r="M72" t="s">
        <v>24</v>
      </c>
      <c r="N72">
        <v>86664.6</v>
      </c>
    </row>
    <row r="73" spans="1:14" x14ac:dyDescent="0.3">
      <c r="A73" t="s">
        <v>113</v>
      </c>
      <c r="B73" s="1">
        <v>45088</v>
      </c>
      <c r="C73" t="s">
        <v>39</v>
      </c>
      <c r="D73" t="s">
        <v>40</v>
      </c>
      <c r="E73" t="s">
        <v>44</v>
      </c>
      <c r="F73" t="s">
        <v>49</v>
      </c>
      <c r="G73">
        <v>3</v>
      </c>
      <c r="H73">
        <v>16081</v>
      </c>
      <c r="I73">
        <v>9648.6</v>
      </c>
      <c r="J73" t="s">
        <v>18</v>
      </c>
      <c r="K73" t="s">
        <v>30</v>
      </c>
      <c r="L73" t="s">
        <v>37</v>
      </c>
      <c r="M73" t="s">
        <v>21</v>
      </c>
      <c r="N73">
        <v>38594.400000000001</v>
      </c>
    </row>
    <row r="74" spans="1:14" x14ac:dyDescent="0.3">
      <c r="A74" t="s">
        <v>114</v>
      </c>
      <c r="B74" s="1">
        <v>45128</v>
      </c>
      <c r="C74" t="s">
        <v>26</v>
      </c>
      <c r="D74" t="s">
        <v>40</v>
      </c>
      <c r="E74" t="s">
        <v>44</v>
      </c>
      <c r="F74" t="s">
        <v>35</v>
      </c>
      <c r="G74">
        <v>8</v>
      </c>
      <c r="H74">
        <v>10985</v>
      </c>
      <c r="I74">
        <v>4394</v>
      </c>
      <c r="J74" t="s">
        <v>36</v>
      </c>
      <c r="K74" t="s">
        <v>41</v>
      </c>
      <c r="L74" t="s">
        <v>37</v>
      </c>
      <c r="M74" t="s">
        <v>21</v>
      </c>
      <c r="N74">
        <v>83486</v>
      </c>
    </row>
    <row r="75" spans="1:14" x14ac:dyDescent="0.3">
      <c r="A75" t="s">
        <v>115</v>
      </c>
      <c r="B75" s="1">
        <v>45196</v>
      </c>
      <c r="C75" t="s">
        <v>26</v>
      </c>
      <c r="D75" t="s">
        <v>40</v>
      </c>
      <c r="E75" t="s">
        <v>16</v>
      </c>
      <c r="F75" t="s">
        <v>47</v>
      </c>
      <c r="G75">
        <v>8</v>
      </c>
      <c r="H75">
        <v>6891</v>
      </c>
      <c r="I75">
        <v>8269.1999999999989</v>
      </c>
      <c r="J75" t="s">
        <v>29</v>
      </c>
      <c r="K75" t="s">
        <v>19</v>
      </c>
      <c r="L75" t="s">
        <v>20</v>
      </c>
      <c r="M75" t="s">
        <v>33</v>
      </c>
      <c r="N75">
        <v>46858.799999999901</v>
      </c>
    </row>
    <row r="76" spans="1:14" x14ac:dyDescent="0.3">
      <c r="A76" t="s">
        <v>116</v>
      </c>
      <c r="B76" s="1">
        <v>45277</v>
      </c>
      <c r="C76" t="s">
        <v>39</v>
      </c>
      <c r="D76" t="s">
        <v>43</v>
      </c>
      <c r="E76" t="s">
        <v>16</v>
      </c>
      <c r="F76" t="s">
        <v>35</v>
      </c>
      <c r="G76">
        <v>1</v>
      </c>
      <c r="H76">
        <v>17497</v>
      </c>
      <c r="I76">
        <v>2624.5499999999997</v>
      </c>
      <c r="J76" t="s">
        <v>50</v>
      </c>
      <c r="K76" t="s">
        <v>30</v>
      </c>
      <c r="L76" t="s">
        <v>20</v>
      </c>
      <c r="M76" t="s">
        <v>21</v>
      </c>
      <c r="N76">
        <v>14872.449999999901</v>
      </c>
    </row>
    <row r="77" spans="1:14" x14ac:dyDescent="0.3">
      <c r="A77" t="s">
        <v>117</v>
      </c>
      <c r="B77" s="1">
        <v>45230</v>
      </c>
      <c r="C77" t="s">
        <v>39</v>
      </c>
      <c r="D77" t="s">
        <v>40</v>
      </c>
      <c r="E77" t="s">
        <v>16</v>
      </c>
      <c r="F77" t="s">
        <v>49</v>
      </c>
      <c r="G77">
        <v>2</v>
      </c>
      <c r="H77">
        <v>6558</v>
      </c>
      <c r="I77">
        <v>1967.3999999999999</v>
      </c>
      <c r="J77" t="s">
        <v>50</v>
      </c>
      <c r="K77" t="s">
        <v>19</v>
      </c>
      <c r="L77" t="s">
        <v>23</v>
      </c>
      <c r="M77" t="s">
        <v>24</v>
      </c>
      <c r="N77">
        <v>11148.6</v>
      </c>
    </row>
    <row r="78" spans="1:14" x14ac:dyDescent="0.3">
      <c r="A78" t="s">
        <v>118</v>
      </c>
      <c r="B78" s="1">
        <v>45197</v>
      </c>
      <c r="C78" t="s">
        <v>14</v>
      </c>
      <c r="D78" t="s">
        <v>15</v>
      </c>
      <c r="E78" t="s">
        <v>44</v>
      </c>
      <c r="F78" t="s">
        <v>17</v>
      </c>
      <c r="G78">
        <v>8</v>
      </c>
      <c r="H78">
        <v>19781</v>
      </c>
      <c r="I78">
        <v>23737.200000000001</v>
      </c>
      <c r="J78" t="s">
        <v>29</v>
      </c>
      <c r="K78" t="s">
        <v>19</v>
      </c>
      <c r="L78" t="s">
        <v>37</v>
      </c>
      <c r="M78" t="s">
        <v>21</v>
      </c>
      <c r="N78">
        <v>134510.79999999999</v>
      </c>
    </row>
    <row r="79" spans="1:14" x14ac:dyDescent="0.3">
      <c r="A79" t="s">
        <v>119</v>
      </c>
      <c r="B79" s="1">
        <v>45141</v>
      </c>
      <c r="C79" t="s">
        <v>26</v>
      </c>
      <c r="D79" t="s">
        <v>40</v>
      </c>
      <c r="E79" t="s">
        <v>16</v>
      </c>
      <c r="F79" t="s">
        <v>35</v>
      </c>
      <c r="G79">
        <v>1</v>
      </c>
      <c r="H79">
        <v>1662</v>
      </c>
      <c r="I79">
        <v>166.20000000000002</v>
      </c>
      <c r="J79" t="s">
        <v>50</v>
      </c>
      <c r="K79" t="s">
        <v>41</v>
      </c>
      <c r="L79" t="s">
        <v>37</v>
      </c>
      <c r="M79" t="s">
        <v>33</v>
      </c>
      <c r="N79">
        <v>1495.8</v>
      </c>
    </row>
    <row r="80" spans="1:14" x14ac:dyDescent="0.3">
      <c r="A80" t="s">
        <v>120</v>
      </c>
      <c r="B80" s="1">
        <v>45178</v>
      </c>
      <c r="C80" t="s">
        <v>46</v>
      </c>
      <c r="D80" t="s">
        <v>40</v>
      </c>
      <c r="E80" t="s">
        <v>16</v>
      </c>
      <c r="F80" t="s">
        <v>28</v>
      </c>
      <c r="G80">
        <v>8</v>
      </c>
      <c r="H80">
        <v>15711</v>
      </c>
      <c r="I80">
        <v>25137.600000000002</v>
      </c>
      <c r="J80" t="s">
        <v>50</v>
      </c>
      <c r="K80" t="s">
        <v>19</v>
      </c>
      <c r="L80" t="s">
        <v>23</v>
      </c>
      <c r="M80" t="s">
        <v>33</v>
      </c>
      <c r="N80">
        <v>100550.39999999999</v>
      </c>
    </row>
    <row r="81" spans="1:14" x14ac:dyDescent="0.3">
      <c r="A81" t="s">
        <v>121</v>
      </c>
      <c r="B81" s="1">
        <v>45116</v>
      </c>
      <c r="C81" t="s">
        <v>32</v>
      </c>
      <c r="D81" t="s">
        <v>40</v>
      </c>
      <c r="E81" t="s">
        <v>16</v>
      </c>
      <c r="F81" t="s">
        <v>28</v>
      </c>
      <c r="G81">
        <v>8</v>
      </c>
      <c r="H81">
        <v>10770</v>
      </c>
      <c r="I81">
        <v>12924</v>
      </c>
      <c r="J81" t="s">
        <v>18</v>
      </c>
      <c r="K81" t="s">
        <v>30</v>
      </c>
      <c r="L81" t="s">
        <v>23</v>
      </c>
      <c r="M81" t="s">
        <v>21</v>
      </c>
      <c r="N81">
        <v>73236</v>
      </c>
    </row>
    <row r="82" spans="1:14" x14ac:dyDescent="0.3">
      <c r="A82" t="s">
        <v>122</v>
      </c>
      <c r="B82" s="1">
        <v>45222</v>
      </c>
      <c r="C82" t="s">
        <v>32</v>
      </c>
      <c r="D82" t="s">
        <v>15</v>
      </c>
      <c r="E82" t="s">
        <v>44</v>
      </c>
      <c r="F82" t="s">
        <v>47</v>
      </c>
      <c r="G82">
        <v>2</v>
      </c>
      <c r="H82">
        <v>48865</v>
      </c>
      <c r="I82">
        <v>0</v>
      </c>
      <c r="J82" t="s">
        <v>50</v>
      </c>
      <c r="K82" t="s">
        <v>19</v>
      </c>
      <c r="L82" t="s">
        <v>20</v>
      </c>
      <c r="M82" t="s">
        <v>24</v>
      </c>
      <c r="N82">
        <v>97730</v>
      </c>
    </row>
    <row r="83" spans="1:14" x14ac:dyDescent="0.3">
      <c r="A83" t="s">
        <v>123</v>
      </c>
      <c r="B83" s="1">
        <v>45139</v>
      </c>
      <c r="C83" t="s">
        <v>39</v>
      </c>
      <c r="D83" t="s">
        <v>43</v>
      </c>
      <c r="E83" t="s">
        <v>27</v>
      </c>
      <c r="F83" t="s">
        <v>49</v>
      </c>
      <c r="G83">
        <v>4</v>
      </c>
      <c r="H83">
        <v>44614</v>
      </c>
      <c r="I83">
        <v>26768.399999999998</v>
      </c>
      <c r="J83" t="s">
        <v>36</v>
      </c>
      <c r="K83" t="s">
        <v>19</v>
      </c>
      <c r="L83" t="s">
        <v>20</v>
      </c>
      <c r="M83" t="s">
        <v>24</v>
      </c>
      <c r="N83">
        <v>151687.6</v>
      </c>
    </row>
    <row r="84" spans="1:14" x14ac:dyDescent="0.3">
      <c r="A84" t="s">
        <v>124</v>
      </c>
      <c r="B84" s="1">
        <v>45134</v>
      </c>
      <c r="C84" t="s">
        <v>14</v>
      </c>
      <c r="D84" t="s">
        <v>15</v>
      </c>
      <c r="E84" t="s">
        <v>16</v>
      </c>
      <c r="F84" t="s">
        <v>47</v>
      </c>
      <c r="G84">
        <v>6</v>
      </c>
      <c r="H84">
        <v>15674</v>
      </c>
      <c r="I84">
        <v>18808.8</v>
      </c>
      <c r="J84" t="s">
        <v>50</v>
      </c>
      <c r="K84" t="s">
        <v>41</v>
      </c>
      <c r="L84" t="s">
        <v>20</v>
      </c>
      <c r="M84" t="s">
        <v>33</v>
      </c>
      <c r="N84">
        <v>75235.199999999997</v>
      </c>
    </row>
    <row r="85" spans="1:14" x14ac:dyDescent="0.3">
      <c r="A85" t="s">
        <v>125</v>
      </c>
      <c r="B85" s="1">
        <v>45163</v>
      </c>
      <c r="C85" t="s">
        <v>32</v>
      </c>
      <c r="D85" t="s">
        <v>43</v>
      </c>
      <c r="E85" t="s">
        <v>27</v>
      </c>
      <c r="F85" t="s">
        <v>47</v>
      </c>
      <c r="G85">
        <v>9</v>
      </c>
      <c r="H85">
        <v>7237</v>
      </c>
      <c r="I85">
        <v>9769.9499999999989</v>
      </c>
      <c r="J85" t="s">
        <v>29</v>
      </c>
      <c r="K85" t="s">
        <v>19</v>
      </c>
      <c r="L85" t="s">
        <v>23</v>
      </c>
      <c r="M85" t="s">
        <v>33</v>
      </c>
      <c r="N85">
        <v>55363.049999999901</v>
      </c>
    </row>
    <row r="86" spans="1:14" x14ac:dyDescent="0.3">
      <c r="A86" t="s">
        <v>126</v>
      </c>
      <c r="B86" s="1">
        <v>45264</v>
      </c>
      <c r="C86" t="s">
        <v>26</v>
      </c>
      <c r="D86" t="s">
        <v>43</v>
      </c>
      <c r="E86" t="s">
        <v>16</v>
      </c>
      <c r="F86" t="s">
        <v>47</v>
      </c>
      <c r="G86">
        <v>8</v>
      </c>
      <c r="H86">
        <v>28329</v>
      </c>
      <c r="I86">
        <v>22663.200000000001</v>
      </c>
      <c r="J86" t="s">
        <v>18</v>
      </c>
      <c r="K86" t="s">
        <v>41</v>
      </c>
      <c r="L86" t="s">
        <v>23</v>
      </c>
      <c r="M86" t="s">
        <v>24</v>
      </c>
      <c r="N86">
        <v>203968.8</v>
      </c>
    </row>
    <row r="87" spans="1:14" x14ac:dyDescent="0.3">
      <c r="A87" t="s">
        <v>127</v>
      </c>
      <c r="B87" s="1">
        <v>44979</v>
      </c>
      <c r="C87" t="s">
        <v>39</v>
      </c>
      <c r="D87" t="s">
        <v>40</v>
      </c>
      <c r="E87" t="s">
        <v>27</v>
      </c>
      <c r="F87" t="s">
        <v>28</v>
      </c>
      <c r="G87">
        <v>8</v>
      </c>
      <c r="H87">
        <v>42467</v>
      </c>
      <c r="I87">
        <v>16986.8</v>
      </c>
      <c r="J87" t="s">
        <v>50</v>
      </c>
      <c r="K87" t="s">
        <v>41</v>
      </c>
      <c r="L87" t="s">
        <v>20</v>
      </c>
      <c r="M87" t="s">
        <v>21</v>
      </c>
      <c r="N87">
        <v>322749.2</v>
      </c>
    </row>
    <row r="88" spans="1:14" x14ac:dyDescent="0.3">
      <c r="A88" t="s">
        <v>128</v>
      </c>
      <c r="B88" s="1">
        <v>45206</v>
      </c>
      <c r="C88" t="s">
        <v>46</v>
      </c>
      <c r="D88" t="s">
        <v>43</v>
      </c>
      <c r="E88" t="s">
        <v>44</v>
      </c>
      <c r="F88" t="s">
        <v>28</v>
      </c>
      <c r="G88">
        <v>7</v>
      </c>
      <c r="H88">
        <v>13586</v>
      </c>
      <c r="I88">
        <v>4755.1000000000004</v>
      </c>
      <c r="J88" t="s">
        <v>29</v>
      </c>
      <c r="K88" t="s">
        <v>30</v>
      </c>
      <c r="L88" t="s">
        <v>20</v>
      </c>
      <c r="M88" t="s">
        <v>21</v>
      </c>
      <c r="N88">
        <v>90346.9</v>
      </c>
    </row>
    <row r="89" spans="1:14" x14ac:dyDescent="0.3">
      <c r="A89" t="s">
        <v>129</v>
      </c>
      <c r="B89" s="1">
        <v>45143</v>
      </c>
      <c r="C89" t="s">
        <v>39</v>
      </c>
      <c r="D89" t="s">
        <v>15</v>
      </c>
      <c r="E89" t="s">
        <v>44</v>
      </c>
      <c r="F89" t="s">
        <v>47</v>
      </c>
      <c r="G89">
        <v>9</v>
      </c>
      <c r="H89">
        <v>6421</v>
      </c>
      <c r="I89">
        <v>11557.800000000001</v>
      </c>
      <c r="J89" t="s">
        <v>36</v>
      </c>
      <c r="K89" t="s">
        <v>30</v>
      </c>
      <c r="L89" t="s">
        <v>37</v>
      </c>
      <c r="M89" t="s">
        <v>21</v>
      </c>
      <c r="N89">
        <v>46231.199999999997</v>
      </c>
    </row>
    <row r="90" spans="1:14" x14ac:dyDescent="0.3">
      <c r="A90" t="s">
        <v>130</v>
      </c>
      <c r="B90" s="1">
        <v>45178</v>
      </c>
      <c r="C90" t="s">
        <v>46</v>
      </c>
      <c r="D90" t="s">
        <v>15</v>
      </c>
      <c r="E90" t="s">
        <v>16</v>
      </c>
      <c r="F90" t="s">
        <v>28</v>
      </c>
      <c r="G90">
        <v>2</v>
      </c>
      <c r="H90">
        <v>23674</v>
      </c>
      <c r="I90">
        <v>2367.4</v>
      </c>
      <c r="J90" t="s">
        <v>50</v>
      </c>
      <c r="K90" t="s">
        <v>30</v>
      </c>
      <c r="L90" t="s">
        <v>37</v>
      </c>
      <c r="M90" t="s">
        <v>21</v>
      </c>
      <c r="N90">
        <v>44980.6</v>
      </c>
    </row>
    <row r="91" spans="1:14" x14ac:dyDescent="0.3">
      <c r="A91" t="s">
        <v>131</v>
      </c>
      <c r="B91" s="1">
        <v>45114</v>
      </c>
      <c r="C91" t="s">
        <v>39</v>
      </c>
      <c r="D91" t="s">
        <v>43</v>
      </c>
      <c r="E91" t="s">
        <v>27</v>
      </c>
      <c r="F91" t="s">
        <v>49</v>
      </c>
      <c r="G91">
        <v>3</v>
      </c>
      <c r="H91">
        <v>40737</v>
      </c>
      <c r="I91">
        <v>6110.55</v>
      </c>
      <c r="J91" t="s">
        <v>18</v>
      </c>
      <c r="K91" t="s">
        <v>30</v>
      </c>
      <c r="L91" t="s">
        <v>20</v>
      </c>
      <c r="M91" t="s">
        <v>24</v>
      </c>
      <c r="N91">
        <v>116100.45</v>
      </c>
    </row>
    <row r="92" spans="1:14" x14ac:dyDescent="0.3">
      <c r="A92" t="s">
        <v>132</v>
      </c>
      <c r="B92" s="1">
        <v>44967</v>
      </c>
      <c r="C92" t="s">
        <v>39</v>
      </c>
      <c r="D92" t="s">
        <v>40</v>
      </c>
      <c r="E92" t="s">
        <v>44</v>
      </c>
      <c r="F92" t="s">
        <v>47</v>
      </c>
      <c r="G92">
        <v>8</v>
      </c>
      <c r="H92">
        <v>47324</v>
      </c>
      <c r="I92">
        <v>0</v>
      </c>
      <c r="J92" t="s">
        <v>50</v>
      </c>
      <c r="K92" t="s">
        <v>41</v>
      </c>
      <c r="L92" t="s">
        <v>20</v>
      </c>
      <c r="M92" t="s">
        <v>33</v>
      </c>
      <c r="N92">
        <v>378592</v>
      </c>
    </row>
    <row r="93" spans="1:14" x14ac:dyDescent="0.3">
      <c r="A93" t="s">
        <v>133</v>
      </c>
      <c r="B93" s="1">
        <v>45083</v>
      </c>
      <c r="C93" t="s">
        <v>39</v>
      </c>
      <c r="D93" t="s">
        <v>40</v>
      </c>
      <c r="E93" t="s">
        <v>16</v>
      </c>
      <c r="F93" t="s">
        <v>28</v>
      </c>
      <c r="G93">
        <v>6</v>
      </c>
      <c r="H93">
        <v>21245</v>
      </c>
      <c r="I93">
        <v>25494</v>
      </c>
      <c r="J93" t="s">
        <v>29</v>
      </c>
      <c r="K93" t="s">
        <v>19</v>
      </c>
      <c r="L93" t="s">
        <v>37</v>
      </c>
      <c r="M93" t="s">
        <v>33</v>
      </c>
      <c r="N93">
        <v>101976</v>
      </c>
    </row>
    <row r="94" spans="1:14" x14ac:dyDescent="0.3">
      <c r="A94" t="s">
        <v>134</v>
      </c>
      <c r="B94" s="1">
        <v>44941</v>
      </c>
      <c r="C94" t="s">
        <v>46</v>
      </c>
      <c r="D94" t="s">
        <v>15</v>
      </c>
      <c r="E94" t="s">
        <v>16</v>
      </c>
      <c r="F94" t="s">
        <v>35</v>
      </c>
      <c r="G94">
        <v>9</v>
      </c>
      <c r="H94">
        <v>25983</v>
      </c>
      <c r="I94">
        <v>46769.4</v>
      </c>
      <c r="J94" t="s">
        <v>18</v>
      </c>
      <c r="K94" t="s">
        <v>30</v>
      </c>
      <c r="L94" t="s">
        <v>20</v>
      </c>
      <c r="M94" t="s">
        <v>21</v>
      </c>
      <c r="N94">
        <v>187077.6</v>
      </c>
    </row>
    <row r="95" spans="1:14" x14ac:dyDescent="0.3">
      <c r="A95" t="s">
        <v>135</v>
      </c>
      <c r="B95" s="1">
        <v>45227</v>
      </c>
      <c r="C95" t="s">
        <v>46</v>
      </c>
      <c r="D95" t="s">
        <v>40</v>
      </c>
      <c r="E95" t="s">
        <v>44</v>
      </c>
      <c r="F95" t="s">
        <v>47</v>
      </c>
      <c r="G95">
        <v>4</v>
      </c>
      <c r="H95">
        <v>40357</v>
      </c>
      <c r="I95">
        <v>8071.4000000000005</v>
      </c>
      <c r="J95" t="s">
        <v>50</v>
      </c>
      <c r="K95" t="s">
        <v>30</v>
      </c>
      <c r="L95" t="s">
        <v>37</v>
      </c>
      <c r="M95" t="s">
        <v>24</v>
      </c>
      <c r="N95">
        <v>153356.6</v>
      </c>
    </row>
    <row r="96" spans="1:14" x14ac:dyDescent="0.3">
      <c r="A96" t="s">
        <v>136</v>
      </c>
      <c r="B96" s="1">
        <v>44991</v>
      </c>
      <c r="C96" t="s">
        <v>39</v>
      </c>
      <c r="D96" t="s">
        <v>43</v>
      </c>
      <c r="E96" t="s">
        <v>44</v>
      </c>
      <c r="F96" t="s">
        <v>47</v>
      </c>
      <c r="G96">
        <v>8</v>
      </c>
      <c r="H96">
        <v>5122</v>
      </c>
      <c r="I96">
        <v>2048.8000000000002</v>
      </c>
      <c r="J96" t="s">
        <v>36</v>
      </c>
      <c r="K96" t="s">
        <v>30</v>
      </c>
      <c r="L96" t="s">
        <v>37</v>
      </c>
      <c r="M96" t="s">
        <v>24</v>
      </c>
      <c r="N96">
        <v>38927.199999999997</v>
      </c>
    </row>
    <row r="97" spans="1:14" x14ac:dyDescent="0.3">
      <c r="A97" t="s">
        <v>137</v>
      </c>
      <c r="B97" s="1">
        <v>45271</v>
      </c>
      <c r="C97" t="s">
        <v>32</v>
      </c>
      <c r="D97" t="s">
        <v>43</v>
      </c>
      <c r="E97" t="s">
        <v>16</v>
      </c>
      <c r="F97" t="s">
        <v>49</v>
      </c>
      <c r="G97">
        <v>3</v>
      </c>
      <c r="H97">
        <v>46607</v>
      </c>
      <c r="I97">
        <v>6991.05</v>
      </c>
      <c r="J97" t="s">
        <v>18</v>
      </c>
      <c r="K97" t="s">
        <v>19</v>
      </c>
      <c r="L97" t="s">
        <v>37</v>
      </c>
      <c r="M97" t="s">
        <v>21</v>
      </c>
      <c r="N97">
        <v>132829.94999999899</v>
      </c>
    </row>
    <row r="98" spans="1:14" x14ac:dyDescent="0.3">
      <c r="A98" t="s">
        <v>138</v>
      </c>
      <c r="B98" s="1">
        <v>45253</v>
      </c>
      <c r="C98" t="s">
        <v>14</v>
      </c>
      <c r="D98" t="s">
        <v>15</v>
      </c>
      <c r="E98" t="s">
        <v>27</v>
      </c>
      <c r="F98" t="s">
        <v>17</v>
      </c>
      <c r="G98">
        <v>3</v>
      </c>
      <c r="H98">
        <v>22906</v>
      </c>
      <c r="I98">
        <v>6871.8</v>
      </c>
      <c r="J98" t="s">
        <v>36</v>
      </c>
      <c r="K98" t="s">
        <v>30</v>
      </c>
      <c r="L98" t="s">
        <v>23</v>
      </c>
      <c r="M98" t="s">
        <v>21</v>
      </c>
      <c r="N98">
        <v>61846.2</v>
      </c>
    </row>
    <row r="99" spans="1:14" x14ac:dyDescent="0.3">
      <c r="A99" t="s">
        <v>139</v>
      </c>
      <c r="B99" s="1">
        <v>44935</v>
      </c>
      <c r="C99" t="s">
        <v>14</v>
      </c>
      <c r="D99" t="s">
        <v>43</v>
      </c>
      <c r="E99" t="s">
        <v>27</v>
      </c>
      <c r="F99" t="s">
        <v>17</v>
      </c>
      <c r="G99">
        <v>8</v>
      </c>
      <c r="H99">
        <v>42971</v>
      </c>
      <c r="I99">
        <v>51565.2</v>
      </c>
      <c r="J99" t="s">
        <v>29</v>
      </c>
      <c r="K99" t="s">
        <v>19</v>
      </c>
      <c r="L99" t="s">
        <v>23</v>
      </c>
      <c r="M99" t="s">
        <v>21</v>
      </c>
      <c r="N99">
        <v>292202.8</v>
      </c>
    </row>
    <row r="100" spans="1:14" x14ac:dyDescent="0.3">
      <c r="A100" t="s">
        <v>140</v>
      </c>
      <c r="B100" s="1">
        <v>45270</v>
      </c>
      <c r="C100" t="s">
        <v>14</v>
      </c>
      <c r="D100" t="s">
        <v>15</v>
      </c>
      <c r="E100" t="s">
        <v>27</v>
      </c>
      <c r="F100" t="s">
        <v>49</v>
      </c>
      <c r="G100">
        <v>5</v>
      </c>
      <c r="H100">
        <v>32679</v>
      </c>
      <c r="I100">
        <v>16339.5</v>
      </c>
      <c r="J100" t="s">
        <v>50</v>
      </c>
      <c r="K100" t="s">
        <v>41</v>
      </c>
      <c r="L100" t="s">
        <v>20</v>
      </c>
      <c r="M100" t="s">
        <v>33</v>
      </c>
      <c r="N100">
        <v>147055.5</v>
      </c>
    </row>
    <row r="101" spans="1:14" x14ac:dyDescent="0.3">
      <c r="A101" t="s">
        <v>141</v>
      </c>
      <c r="B101" s="1">
        <v>45055</v>
      </c>
      <c r="C101" t="s">
        <v>46</v>
      </c>
      <c r="D101" t="s">
        <v>43</v>
      </c>
      <c r="E101" t="s">
        <v>16</v>
      </c>
      <c r="F101" t="s">
        <v>49</v>
      </c>
      <c r="G101">
        <v>3</v>
      </c>
      <c r="H101">
        <v>5378</v>
      </c>
      <c r="I101">
        <v>3226.8</v>
      </c>
      <c r="J101" t="s">
        <v>36</v>
      </c>
      <c r="K101" t="s">
        <v>41</v>
      </c>
      <c r="L101" t="s">
        <v>37</v>
      </c>
      <c r="M101" t="s">
        <v>21</v>
      </c>
      <c r="N101">
        <v>12907.2</v>
      </c>
    </row>
    <row r="102" spans="1:14" x14ac:dyDescent="0.3">
      <c r="A102" t="s">
        <v>142</v>
      </c>
      <c r="B102" s="1">
        <v>45062</v>
      </c>
      <c r="C102" t="s">
        <v>46</v>
      </c>
      <c r="D102" t="s">
        <v>15</v>
      </c>
      <c r="E102" t="s">
        <v>44</v>
      </c>
      <c r="F102" t="s">
        <v>49</v>
      </c>
      <c r="G102">
        <v>1</v>
      </c>
      <c r="H102">
        <v>30222</v>
      </c>
      <c r="I102">
        <v>0</v>
      </c>
      <c r="J102" t="s">
        <v>29</v>
      </c>
      <c r="K102" t="s">
        <v>41</v>
      </c>
      <c r="L102" t="s">
        <v>23</v>
      </c>
      <c r="M102" t="s">
        <v>33</v>
      </c>
      <c r="N102">
        <v>30222</v>
      </c>
    </row>
    <row r="103" spans="1:14" x14ac:dyDescent="0.3">
      <c r="A103" t="s">
        <v>143</v>
      </c>
      <c r="B103" s="1">
        <v>44989</v>
      </c>
      <c r="C103" t="s">
        <v>32</v>
      </c>
      <c r="D103" t="s">
        <v>40</v>
      </c>
      <c r="E103" t="s">
        <v>16</v>
      </c>
      <c r="F103" t="s">
        <v>17</v>
      </c>
      <c r="G103">
        <v>3</v>
      </c>
      <c r="H103">
        <v>15440</v>
      </c>
      <c r="I103">
        <v>6948</v>
      </c>
      <c r="J103" t="s">
        <v>50</v>
      </c>
      <c r="K103" t="s">
        <v>19</v>
      </c>
      <c r="L103" t="s">
        <v>20</v>
      </c>
      <c r="M103" t="s">
        <v>24</v>
      </c>
      <c r="N103">
        <v>39372</v>
      </c>
    </row>
    <row r="104" spans="1:14" x14ac:dyDescent="0.3">
      <c r="A104" t="s">
        <v>144</v>
      </c>
      <c r="B104" s="1">
        <v>45065</v>
      </c>
      <c r="C104" t="s">
        <v>14</v>
      </c>
      <c r="D104" t="s">
        <v>43</v>
      </c>
      <c r="E104" t="s">
        <v>44</v>
      </c>
      <c r="F104" t="s">
        <v>49</v>
      </c>
      <c r="G104">
        <v>9</v>
      </c>
      <c r="H104">
        <v>26420</v>
      </c>
      <c r="I104">
        <v>0</v>
      </c>
      <c r="J104" t="s">
        <v>29</v>
      </c>
      <c r="K104" t="s">
        <v>30</v>
      </c>
      <c r="L104" t="s">
        <v>20</v>
      </c>
      <c r="M104" t="s">
        <v>24</v>
      </c>
      <c r="N104">
        <v>237780</v>
      </c>
    </row>
    <row r="105" spans="1:14" x14ac:dyDescent="0.3">
      <c r="A105" t="s">
        <v>145</v>
      </c>
      <c r="B105" s="1">
        <v>45007</v>
      </c>
      <c r="C105" t="s">
        <v>14</v>
      </c>
      <c r="D105" t="s">
        <v>43</v>
      </c>
      <c r="E105" t="s">
        <v>27</v>
      </c>
      <c r="F105" t="s">
        <v>28</v>
      </c>
      <c r="G105">
        <v>5</v>
      </c>
      <c r="H105">
        <v>36936</v>
      </c>
      <c r="I105">
        <v>36936</v>
      </c>
      <c r="J105" t="s">
        <v>36</v>
      </c>
      <c r="K105" t="s">
        <v>30</v>
      </c>
      <c r="L105" t="s">
        <v>20</v>
      </c>
      <c r="M105" t="s">
        <v>33</v>
      </c>
      <c r="N105">
        <v>147744</v>
      </c>
    </row>
    <row r="106" spans="1:14" x14ac:dyDescent="0.3">
      <c r="A106" t="s">
        <v>146</v>
      </c>
      <c r="B106" s="1">
        <v>45089</v>
      </c>
      <c r="C106" t="s">
        <v>39</v>
      </c>
      <c r="D106" t="s">
        <v>15</v>
      </c>
      <c r="E106" t="s">
        <v>27</v>
      </c>
      <c r="F106" t="s">
        <v>47</v>
      </c>
      <c r="G106">
        <v>2</v>
      </c>
      <c r="H106">
        <v>2916</v>
      </c>
      <c r="I106">
        <v>1166.4000000000001</v>
      </c>
      <c r="J106" t="s">
        <v>29</v>
      </c>
      <c r="K106" t="s">
        <v>30</v>
      </c>
      <c r="L106" t="s">
        <v>20</v>
      </c>
      <c r="M106" t="s">
        <v>33</v>
      </c>
      <c r="N106">
        <v>4665.6000000000004</v>
      </c>
    </row>
    <row r="107" spans="1:14" x14ac:dyDescent="0.3">
      <c r="A107" t="s">
        <v>147</v>
      </c>
      <c r="B107" s="1">
        <v>45215</v>
      </c>
      <c r="C107" t="s">
        <v>46</v>
      </c>
      <c r="D107" t="s">
        <v>15</v>
      </c>
      <c r="E107" t="s">
        <v>44</v>
      </c>
      <c r="F107" t="s">
        <v>47</v>
      </c>
      <c r="G107">
        <v>7</v>
      </c>
      <c r="H107">
        <v>16774</v>
      </c>
      <c r="I107">
        <v>0</v>
      </c>
      <c r="J107" t="s">
        <v>18</v>
      </c>
      <c r="K107" t="s">
        <v>30</v>
      </c>
      <c r="L107" t="s">
        <v>20</v>
      </c>
      <c r="M107" t="s">
        <v>33</v>
      </c>
      <c r="N107">
        <v>117418</v>
      </c>
    </row>
    <row r="108" spans="1:14" x14ac:dyDescent="0.3">
      <c r="A108" t="s">
        <v>148</v>
      </c>
      <c r="B108" s="1">
        <v>45187</v>
      </c>
      <c r="C108" t="s">
        <v>14</v>
      </c>
      <c r="D108" t="s">
        <v>43</v>
      </c>
      <c r="E108" t="s">
        <v>44</v>
      </c>
      <c r="F108" t="s">
        <v>35</v>
      </c>
      <c r="G108">
        <v>2</v>
      </c>
      <c r="H108">
        <v>46479</v>
      </c>
      <c r="I108">
        <v>0</v>
      </c>
      <c r="J108" t="s">
        <v>50</v>
      </c>
      <c r="K108" t="s">
        <v>30</v>
      </c>
      <c r="L108" t="s">
        <v>37</v>
      </c>
      <c r="M108" t="s">
        <v>33</v>
      </c>
      <c r="N108">
        <v>92958</v>
      </c>
    </row>
    <row r="109" spans="1:14" x14ac:dyDescent="0.3">
      <c r="A109" t="s">
        <v>149</v>
      </c>
      <c r="B109" s="1">
        <v>45157</v>
      </c>
      <c r="C109" t="s">
        <v>32</v>
      </c>
      <c r="D109" t="s">
        <v>15</v>
      </c>
      <c r="E109" t="s">
        <v>16</v>
      </c>
      <c r="F109" t="s">
        <v>35</v>
      </c>
      <c r="G109">
        <v>4</v>
      </c>
      <c r="H109">
        <v>17919</v>
      </c>
      <c r="I109">
        <v>0</v>
      </c>
      <c r="J109" t="s">
        <v>29</v>
      </c>
      <c r="K109" t="s">
        <v>19</v>
      </c>
      <c r="L109" t="s">
        <v>20</v>
      </c>
      <c r="M109" t="s">
        <v>21</v>
      </c>
      <c r="N109">
        <v>71676</v>
      </c>
    </row>
    <row r="110" spans="1:14" x14ac:dyDescent="0.3">
      <c r="A110" t="s">
        <v>150</v>
      </c>
      <c r="B110" s="1">
        <v>44967</v>
      </c>
      <c r="C110" t="s">
        <v>32</v>
      </c>
      <c r="D110" t="s">
        <v>43</v>
      </c>
      <c r="E110" t="s">
        <v>27</v>
      </c>
      <c r="F110" t="s">
        <v>47</v>
      </c>
      <c r="G110">
        <v>7</v>
      </c>
      <c r="H110">
        <v>8381</v>
      </c>
      <c r="I110">
        <v>11733.400000000001</v>
      </c>
      <c r="J110" t="s">
        <v>36</v>
      </c>
      <c r="K110" t="s">
        <v>41</v>
      </c>
      <c r="L110" t="s">
        <v>37</v>
      </c>
      <c r="M110" t="s">
        <v>24</v>
      </c>
      <c r="N110">
        <v>46933.599999999999</v>
      </c>
    </row>
    <row r="111" spans="1:14" x14ac:dyDescent="0.3">
      <c r="A111" t="s">
        <v>151</v>
      </c>
      <c r="B111" s="1">
        <v>44954</v>
      </c>
      <c r="C111" t="s">
        <v>14</v>
      </c>
      <c r="D111" t="s">
        <v>40</v>
      </c>
      <c r="E111" t="s">
        <v>16</v>
      </c>
      <c r="F111" t="s">
        <v>28</v>
      </c>
      <c r="G111">
        <v>4</v>
      </c>
      <c r="H111">
        <v>45963</v>
      </c>
      <c r="I111">
        <v>9192.6</v>
      </c>
      <c r="J111" t="s">
        <v>50</v>
      </c>
      <c r="K111" t="s">
        <v>30</v>
      </c>
      <c r="L111" t="s">
        <v>23</v>
      </c>
      <c r="M111" t="s">
        <v>21</v>
      </c>
      <c r="N111">
        <v>174659.4</v>
      </c>
    </row>
    <row r="112" spans="1:14" x14ac:dyDescent="0.3">
      <c r="A112" t="s">
        <v>152</v>
      </c>
      <c r="B112" s="1">
        <v>45061</v>
      </c>
      <c r="C112" t="s">
        <v>46</v>
      </c>
      <c r="D112" t="s">
        <v>15</v>
      </c>
      <c r="E112" t="s">
        <v>16</v>
      </c>
      <c r="F112" t="s">
        <v>17</v>
      </c>
      <c r="G112">
        <v>7</v>
      </c>
      <c r="H112">
        <v>44266</v>
      </c>
      <c r="I112">
        <v>0</v>
      </c>
      <c r="J112" t="s">
        <v>18</v>
      </c>
      <c r="K112" t="s">
        <v>41</v>
      </c>
      <c r="L112" t="s">
        <v>20</v>
      </c>
      <c r="M112" t="s">
        <v>33</v>
      </c>
      <c r="N112">
        <v>309862</v>
      </c>
    </row>
    <row r="113" spans="1:14" x14ac:dyDescent="0.3">
      <c r="A113" t="s">
        <v>153</v>
      </c>
      <c r="B113" s="1">
        <v>45127</v>
      </c>
      <c r="C113" t="s">
        <v>32</v>
      </c>
      <c r="D113" t="s">
        <v>43</v>
      </c>
      <c r="E113" t="s">
        <v>16</v>
      </c>
      <c r="F113" t="s">
        <v>17</v>
      </c>
      <c r="G113">
        <v>7</v>
      </c>
      <c r="H113">
        <v>49730</v>
      </c>
      <c r="I113">
        <v>52216.5</v>
      </c>
      <c r="J113" t="s">
        <v>50</v>
      </c>
      <c r="K113" t="s">
        <v>19</v>
      </c>
      <c r="L113" t="s">
        <v>23</v>
      </c>
      <c r="M113" t="s">
        <v>21</v>
      </c>
      <c r="N113">
        <v>295893.5</v>
      </c>
    </row>
    <row r="114" spans="1:14" x14ac:dyDescent="0.3">
      <c r="A114" t="s">
        <v>154</v>
      </c>
      <c r="B114" s="1">
        <v>45254</v>
      </c>
      <c r="C114" t="s">
        <v>39</v>
      </c>
      <c r="D114" t="s">
        <v>40</v>
      </c>
      <c r="E114" t="s">
        <v>27</v>
      </c>
      <c r="F114" t="s">
        <v>28</v>
      </c>
      <c r="G114">
        <v>1</v>
      </c>
      <c r="H114">
        <v>20413</v>
      </c>
      <c r="I114">
        <v>4082.6000000000004</v>
      </c>
      <c r="J114" t="s">
        <v>18</v>
      </c>
      <c r="K114" t="s">
        <v>19</v>
      </c>
      <c r="L114" t="s">
        <v>37</v>
      </c>
      <c r="M114" t="s">
        <v>21</v>
      </c>
      <c r="N114">
        <v>16330.4</v>
      </c>
    </row>
    <row r="115" spans="1:14" x14ac:dyDescent="0.3">
      <c r="A115" t="s">
        <v>155</v>
      </c>
      <c r="B115" s="1">
        <v>45194</v>
      </c>
      <c r="C115" t="s">
        <v>32</v>
      </c>
      <c r="D115" t="s">
        <v>40</v>
      </c>
      <c r="E115" t="s">
        <v>16</v>
      </c>
      <c r="F115" t="s">
        <v>17</v>
      </c>
      <c r="G115">
        <v>6</v>
      </c>
      <c r="H115">
        <v>6580</v>
      </c>
      <c r="I115">
        <v>3948</v>
      </c>
      <c r="J115" t="s">
        <v>50</v>
      </c>
      <c r="K115" t="s">
        <v>30</v>
      </c>
      <c r="L115" t="s">
        <v>37</v>
      </c>
      <c r="M115" t="s">
        <v>24</v>
      </c>
      <c r="N115">
        <v>35532</v>
      </c>
    </row>
    <row r="116" spans="1:14" x14ac:dyDescent="0.3">
      <c r="A116" t="s">
        <v>156</v>
      </c>
      <c r="B116" s="1">
        <v>44959</v>
      </c>
      <c r="C116" t="s">
        <v>26</v>
      </c>
      <c r="D116" t="s">
        <v>43</v>
      </c>
      <c r="E116" t="s">
        <v>16</v>
      </c>
      <c r="F116" t="s">
        <v>49</v>
      </c>
      <c r="G116">
        <v>9</v>
      </c>
      <c r="H116">
        <v>815</v>
      </c>
      <c r="I116">
        <v>733.5</v>
      </c>
      <c r="J116" t="s">
        <v>29</v>
      </c>
      <c r="K116" t="s">
        <v>19</v>
      </c>
      <c r="L116" t="s">
        <v>23</v>
      </c>
      <c r="M116" t="s">
        <v>21</v>
      </c>
      <c r="N116">
        <v>6601.5</v>
      </c>
    </row>
    <row r="117" spans="1:14" x14ac:dyDescent="0.3">
      <c r="A117" t="s">
        <v>157</v>
      </c>
      <c r="B117" s="1">
        <v>44974</v>
      </c>
      <c r="C117" t="s">
        <v>26</v>
      </c>
      <c r="D117" t="s">
        <v>15</v>
      </c>
      <c r="E117" t="s">
        <v>16</v>
      </c>
      <c r="F117" t="s">
        <v>47</v>
      </c>
      <c r="G117">
        <v>2</v>
      </c>
      <c r="H117">
        <v>663</v>
      </c>
      <c r="I117">
        <v>198.9</v>
      </c>
      <c r="J117" t="s">
        <v>29</v>
      </c>
      <c r="K117" t="s">
        <v>41</v>
      </c>
      <c r="L117" t="s">
        <v>20</v>
      </c>
      <c r="M117" t="s">
        <v>24</v>
      </c>
      <c r="N117">
        <v>1127.0999999999999</v>
      </c>
    </row>
    <row r="118" spans="1:14" x14ac:dyDescent="0.3">
      <c r="A118" t="s">
        <v>158</v>
      </c>
      <c r="B118" s="1">
        <v>44988</v>
      </c>
      <c r="C118" t="s">
        <v>46</v>
      </c>
      <c r="D118" t="s">
        <v>43</v>
      </c>
      <c r="E118" t="s">
        <v>16</v>
      </c>
      <c r="F118" t="s">
        <v>47</v>
      </c>
      <c r="G118">
        <v>3</v>
      </c>
      <c r="H118">
        <v>32173</v>
      </c>
      <c r="I118">
        <v>4825.95</v>
      </c>
      <c r="J118" t="s">
        <v>36</v>
      </c>
      <c r="K118" t="s">
        <v>30</v>
      </c>
      <c r="L118" t="s">
        <v>20</v>
      </c>
      <c r="M118" t="s">
        <v>33</v>
      </c>
      <c r="N118">
        <v>91693.05</v>
      </c>
    </row>
    <row r="119" spans="1:14" x14ac:dyDescent="0.3">
      <c r="A119" t="s">
        <v>159</v>
      </c>
      <c r="B119" s="1">
        <v>45142</v>
      </c>
      <c r="C119" t="s">
        <v>14</v>
      </c>
      <c r="D119" t="s">
        <v>40</v>
      </c>
      <c r="E119" t="s">
        <v>16</v>
      </c>
      <c r="F119" t="s">
        <v>28</v>
      </c>
      <c r="G119">
        <v>5</v>
      </c>
      <c r="H119">
        <v>9358</v>
      </c>
      <c r="I119">
        <v>0</v>
      </c>
      <c r="J119" t="s">
        <v>18</v>
      </c>
      <c r="K119" t="s">
        <v>30</v>
      </c>
      <c r="L119" t="s">
        <v>23</v>
      </c>
      <c r="M119" t="s">
        <v>21</v>
      </c>
      <c r="N119">
        <v>46790</v>
      </c>
    </row>
    <row r="120" spans="1:14" x14ac:dyDescent="0.3">
      <c r="A120" t="s">
        <v>160</v>
      </c>
      <c r="B120" s="1">
        <v>45219</v>
      </c>
      <c r="C120" t="s">
        <v>46</v>
      </c>
      <c r="D120" t="s">
        <v>43</v>
      </c>
      <c r="E120" t="s">
        <v>16</v>
      </c>
      <c r="F120" t="s">
        <v>17</v>
      </c>
      <c r="G120">
        <v>9</v>
      </c>
      <c r="H120">
        <v>20851</v>
      </c>
      <c r="I120">
        <v>37531.800000000003</v>
      </c>
      <c r="J120" t="s">
        <v>36</v>
      </c>
      <c r="K120" t="s">
        <v>41</v>
      </c>
      <c r="L120" t="s">
        <v>23</v>
      </c>
      <c r="M120" t="s">
        <v>33</v>
      </c>
      <c r="N120">
        <v>150127.20000000001</v>
      </c>
    </row>
    <row r="121" spans="1:14" x14ac:dyDescent="0.3">
      <c r="A121" t="s">
        <v>161</v>
      </c>
      <c r="B121" s="1">
        <v>45025</v>
      </c>
      <c r="C121" t="s">
        <v>46</v>
      </c>
      <c r="D121" t="s">
        <v>15</v>
      </c>
      <c r="E121" t="s">
        <v>27</v>
      </c>
      <c r="F121" t="s">
        <v>35</v>
      </c>
      <c r="G121">
        <v>4</v>
      </c>
      <c r="H121">
        <v>3358</v>
      </c>
      <c r="I121">
        <v>0</v>
      </c>
      <c r="J121" t="s">
        <v>29</v>
      </c>
      <c r="K121" t="s">
        <v>30</v>
      </c>
      <c r="L121" t="s">
        <v>23</v>
      </c>
      <c r="M121" t="s">
        <v>24</v>
      </c>
      <c r="N121">
        <v>13432</v>
      </c>
    </row>
    <row r="122" spans="1:14" x14ac:dyDescent="0.3">
      <c r="A122" t="s">
        <v>162</v>
      </c>
      <c r="B122" s="1">
        <v>45098</v>
      </c>
      <c r="C122" t="s">
        <v>46</v>
      </c>
      <c r="D122" t="s">
        <v>40</v>
      </c>
      <c r="E122" t="s">
        <v>16</v>
      </c>
      <c r="F122" t="s">
        <v>35</v>
      </c>
      <c r="G122">
        <v>1</v>
      </c>
      <c r="H122">
        <v>20208</v>
      </c>
      <c r="I122">
        <v>4041.6000000000004</v>
      </c>
      <c r="J122" t="s">
        <v>18</v>
      </c>
      <c r="K122" t="s">
        <v>30</v>
      </c>
      <c r="L122" t="s">
        <v>20</v>
      </c>
      <c r="M122" t="s">
        <v>33</v>
      </c>
      <c r="N122">
        <v>16166.4</v>
      </c>
    </row>
    <row r="123" spans="1:14" x14ac:dyDescent="0.3">
      <c r="A123" t="s">
        <v>163</v>
      </c>
      <c r="B123" s="1">
        <v>45286</v>
      </c>
      <c r="C123" t="s">
        <v>46</v>
      </c>
      <c r="D123" t="s">
        <v>43</v>
      </c>
      <c r="E123" t="s">
        <v>44</v>
      </c>
      <c r="F123" t="s">
        <v>17</v>
      </c>
      <c r="G123">
        <v>4</v>
      </c>
      <c r="H123">
        <v>46402</v>
      </c>
      <c r="I123">
        <v>18560.8</v>
      </c>
      <c r="J123" t="s">
        <v>36</v>
      </c>
      <c r="K123" t="s">
        <v>41</v>
      </c>
      <c r="L123" t="s">
        <v>20</v>
      </c>
      <c r="M123" t="s">
        <v>33</v>
      </c>
      <c r="N123">
        <v>167047.20000000001</v>
      </c>
    </row>
    <row r="124" spans="1:14" x14ac:dyDescent="0.3">
      <c r="A124" t="s">
        <v>164</v>
      </c>
      <c r="B124" s="1">
        <v>45140</v>
      </c>
      <c r="C124" t="s">
        <v>39</v>
      </c>
      <c r="D124" t="s">
        <v>15</v>
      </c>
      <c r="E124" t="s">
        <v>16</v>
      </c>
      <c r="F124" t="s">
        <v>35</v>
      </c>
      <c r="G124">
        <v>6</v>
      </c>
      <c r="H124">
        <v>5138</v>
      </c>
      <c r="I124">
        <v>0</v>
      </c>
      <c r="J124" t="s">
        <v>36</v>
      </c>
      <c r="K124" t="s">
        <v>30</v>
      </c>
      <c r="L124" t="s">
        <v>20</v>
      </c>
      <c r="M124" t="s">
        <v>24</v>
      </c>
      <c r="N124">
        <v>30828</v>
      </c>
    </row>
    <row r="125" spans="1:14" x14ac:dyDescent="0.3">
      <c r="A125" t="s">
        <v>165</v>
      </c>
      <c r="B125" s="1">
        <v>44961</v>
      </c>
      <c r="C125" t="s">
        <v>39</v>
      </c>
      <c r="D125" t="s">
        <v>40</v>
      </c>
      <c r="E125" t="s">
        <v>16</v>
      </c>
      <c r="F125" t="s">
        <v>28</v>
      </c>
      <c r="G125">
        <v>5</v>
      </c>
      <c r="H125">
        <v>38385</v>
      </c>
      <c r="I125">
        <v>28788.75</v>
      </c>
      <c r="J125" t="s">
        <v>36</v>
      </c>
      <c r="K125" t="s">
        <v>30</v>
      </c>
      <c r="L125" t="s">
        <v>23</v>
      </c>
      <c r="M125" t="s">
        <v>33</v>
      </c>
      <c r="N125">
        <v>163136.25</v>
      </c>
    </row>
    <row r="126" spans="1:14" x14ac:dyDescent="0.3">
      <c r="A126" t="s">
        <v>166</v>
      </c>
      <c r="B126" s="1">
        <v>45153</v>
      </c>
      <c r="C126" t="s">
        <v>32</v>
      </c>
      <c r="D126" t="s">
        <v>15</v>
      </c>
      <c r="E126" t="s">
        <v>27</v>
      </c>
      <c r="F126" t="s">
        <v>28</v>
      </c>
      <c r="G126">
        <v>1</v>
      </c>
      <c r="H126">
        <v>22588</v>
      </c>
      <c r="I126">
        <v>1129.4000000000001</v>
      </c>
      <c r="J126" t="s">
        <v>36</v>
      </c>
      <c r="K126" t="s">
        <v>41</v>
      </c>
      <c r="L126" t="s">
        <v>20</v>
      </c>
      <c r="M126" t="s">
        <v>33</v>
      </c>
      <c r="N126">
        <v>21458.6</v>
      </c>
    </row>
    <row r="127" spans="1:14" x14ac:dyDescent="0.3">
      <c r="A127" t="s">
        <v>167</v>
      </c>
      <c r="B127" s="1">
        <v>45027</v>
      </c>
      <c r="C127" t="s">
        <v>26</v>
      </c>
      <c r="D127" t="s">
        <v>40</v>
      </c>
      <c r="E127" t="s">
        <v>27</v>
      </c>
      <c r="F127" t="s">
        <v>17</v>
      </c>
      <c r="G127">
        <v>4</v>
      </c>
      <c r="H127">
        <v>9081</v>
      </c>
      <c r="I127">
        <v>5448.5999999999995</v>
      </c>
      <c r="J127" t="s">
        <v>36</v>
      </c>
      <c r="K127" t="s">
        <v>19</v>
      </c>
      <c r="L127" t="s">
        <v>37</v>
      </c>
      <c r="M127" t="s">
        <v>33</v>
      </c>
      <c r="N127">
        <v>30875.3999999999</v>
      </c>
    </row>
    <row r="128" spans="1:14" x14ac:dyDescent="0.3">
      <c r="A128" t="s">
        <v>168</v>
      </c>
      <c r="B128" s="1">
        <v>45057</v>
      </c>
      <c r="C128" t="s">
        <v>46</v>
      </c>
      <c r="D128" t="s">
        <v>43</v>
      </c>
      <c r="E128" t="s">
        <v>44</v>
      </c>
      <c r="F128" t="s">
        <v>35</v>
      </c>
      <c r="G128">
        <v>6</v>
      </c>
      <c r="H128">
        <v>5803</v>
      </c>
      <c r="I128">
        <v>1740.9</v>
      </c>
      <c r="J128" t="s">
        <v>18</v>
      </c>
      <c r="K128" t="s">
        <v>41</v>
      </c>
      <c r="L128" t="s">
        <v>23</v>
      </c>
      <c r="M128" t="s">
        <v>21</v>
      </c>
      <c r="N128">
        <v>33077.1</v>
      </c>
    </row>
    <row r="129" spans="1:14" x14ac:dyDescent="0.3">
      <c r="A129" t="s">
        <v>169</v>
      </c>
      <c r="B129" s="1">
        <v>45183</v>
      </c>
      <c r="C129" t="s">
        <v>32</v>
      </c>
      <c r="D129" t="s">
        <v>15</v>
      </c>
      <c r="E129" t="s">
        <v>44</v>
      </c>
      <c r="F129" t="s">
        <v>28</v>
      </c>
      <c r="G129">
        <v>4</v>
      </c>
      <c r="H129">
        <v>35180</v>
      </c>
      <c r="I129">
        <v>0</v>
      </c>
      <c r="J129" t="s">
        <v>36</v>
      </c>
      <c r="K129" t="s">
        <v>30</v>
      </c>
      <c r="L129" t="s">
        <v>20</v>
      </c>
      <c r="M129" t="s">
        <v>33</v>
      </c>
      <c r="N129">
        <v>140720</v>
      </c>
    </row>
    <row r="130" spans="1:14" x14ac:dyDescent="0.3">
      <c r="A130" t="s">
        <v>170</v>
      </c>
      <c r="B130" s="1">
        <v>44931</v>
      </c>
      <c r="C130" t="s">
        <v>26</v>
      </c>
      <c r="D130" t="s">
        <v>40</v>
      </c>
      <c r="E130" t="s">
        <v>27</v>
      </c>
      <c r="F130" t="s">
        <v>28</v>
      </c>
      <c r="G130">
        <v>9</v>
      </c>
      <c r="H130">
        <v>22704</v>
      </c>
      <c r="I130">
        <v>0</v>
      </c>
      <c r="J130" t="s">
        <v>18</v>
      </c>
      <c r="K130" t="s">
        <v>41</v>
      </c>
      <c r="L130" t="s">
        <v>23</v>
      </c>
      <c r="M130" t="s">
        <v>24</v>
      </c>
      <c r="N130">
        <v>204336</v>
      </c>
    </row>
    <row r="131" spans="1:14" x14ac:dyDescent="0.3">
      <c r="A131" t="s">
        <v>171</v>
      </c>
      <c r="B131" s="1">
        <v>45144</v>
      </c>
      <c r="C131" t="s">
        <v>14</v>
      </c>
      <c r="D131" t="s">
        <v>15</v>
      </c>
      <c r="E131" t="s">
        <v>27</v>
      </c>
      <c r="F131" t="s">
        <v>49</v>
      </c>
      <c r="G131">
        <v>5</v>
      </c>
      <c r="H131">
        <v>16966</v>
      </c>
      <c r="I131">
        <v>4241.5</v>
      </c>
      <c r="J131" t="s">
        <v>36</v>
      </c>
      <c r="K131" t="s">
        <v>30</v>
      </c>
      <c r="L131" t="s">
        <v>37</v>
      </c>
      <c r="M131" t="s">
        <v>21</v>
      </c>
      <c r="N131">
        <v>80588.5</v>
      </c>
    </row>
    <row r="132" spans="1:14" x14ac:dyDescent="0.3">
      <c r="A132" t="s">
        <v>172</v>
      </c>
      <c r="B132" s="1">
        <v>45181</v>
      </c>
      <c r="C132" t="s">
        <v>39</v>
      </c>
      <c r="D132" t="s">
        <v>15</v>
      </c>
      <c r="E132" t="s">
        <v>16</v>
      </c>
      <c r="F132" t="s">
        <v>49</v>
      </c>
      <c r="G132">
        <v>8</v>
      </c>
      <c r="H132">
        <v>28586</v>
      </c>
      <c r="I132">
        <v>22868.800000000003</v>
      </c>
      <c r="J132" t="s">
        <v>29</v>
      </c>
      <c r="K132" t="s">
        <v>30</v>
      </c>
      <c r="L132" t="s">
        <v>37</v>
      </c>
      <c r="M132" t="s">
        <v>21</v>
      </c>
      <c r="N132">
        <v>205819.2</v>
      </c>
    </row>
    <row r="133" spans="1:14" x14ac:dyDescent="0.3">
      <c r="A133" t="s">
        <v>173</v>
      </c>
      <c r="B133" s="1">
        <v>45285</v>
      </c>
      <c r="C133" t="s">
        <v>26</v>
      </c>
      <c r="D133" t="s">
        <v>43</v>
      </c>
      <c r="E133" t="s">
        <v>27</v>
      </c>
      <c r="F133" t="s">
        <v>28</v>
      </c>
      <c r="G133">
        <v>9</v>
      </c>
      <c r="H133">
        <v>11895</v>
      </c>
      <c r="I133">
        <v>21411</v>
      </c>
      <c r="J133" t="s">
        <v>29</v>
      </c>
      <c r="K133" t="s">
        <v>41</v>
      </c>
      <c r="L133" t="s">
        <v>23</v>
      </c>
      <c r="M133" t="s">
        <v>24</v>
      </c>
      <c r="N133">
        <v>85644</v>
      </c>
    </row>
    <row r="134" spans="1:14" x14ac:dyDescent="0.3">
      <c r="A134" t="s">
        <v>174</v>
      </c>
      <c r="B134" s="1">
        <v>45209</v>
      </c>
      <c r="C134" t="s">
        <v>14</v>
      </c>
      <c r="D134" t="s">
        <v>15</v>
      </c>
      <c r="E134" t="s">
        <v>44</v>
      </c>
      <c r="F134" t="s">
        <v>17</v>
      </c>
      <c r="G134">
        <v>5</v>
      </c>
      <c r="H134">
        <v>17996</v>
      </c>
      <c r="I134">
        <v>13497</v>
      </c>
      <c r="J134" t="s">
        <v>36</v>
      </c>
      <c r="K134" t="s">
        <v>30</v>
      </c>
      <c r="L134" t="s">
        <v>23</v>
      </c>
      <c r="M134" t="s">
        <v>33</v>
      </c>
      <c r="N134">
        <v>76483</v>
      </c>
    </row>
    <row r="135" spans="1:14" x14ac:dyDescent="0.3">
      <c r="A135" t="s">
        <v>175</v>
      </c>
      <c r="B135" s="1">
        <v>45133</v>
      </c>
      <c r="C135" t="s">
        <v>26</v>
      </c>
      <c r="D135" t="s">
        <v>40</v>
      </c>
      <c r="E135" t="s">
        <v>16</v>
      </c>
      <c r="F135" t="s">
        <v>47</v>
      </c>
      <c r="G135">
        <v>6</v>
      </c>
      <c r="H135">
        <v>42743</v>
      </c>
      <c r="I135">
        <v>38468.699999999997</v>
      </c>
      <c r="J135" t="s">
        <v>50</v>
      </c>
      <c r="K135" t="s">
        <v>19</v>
      </c>
      <c r="L135" t="s">
        <v>37</v>
      </c>
      <c r="M135" t="s">
        <v>21</v>
      </c>
      <c r="N135">
        <v>217989.3</v>
      </c>
    </row>
    <row r="136" spans="1:14" x14ac:dyDescent="0.3">
      <c r="A136" t="s">
        <v>176</v>
      </c>
      <c r="B136" s="1">
        <v>44941</v>
      </c>
      <c r="C136" t="s">
        <v>39</v>
      </c>
      <c r="D136" t="s">
        <v>40</v>
      </c>
      <c r="E136" t="s">
        <v>44</v>
      </c>
      <c r="F136" t="s">
        <v>47</v>
      </c>
      <c r="G136">
        <v>1</v>
      </c>
      <c r="H136">
        <v>14759</v>
      </c>
      <c r="I136">
        <v>2213.85</v>
      </c>
      <c r="J136" t="s">
        <v>29</v>
      </c>
      <c r="K136" t="s">
        <v>30</v>
      </c>
      <c r="L136" t="s">
        <v>23</v>
      </c>
      <c r="M136" t="s">
        <v>21</v>
      </c>
      <c r="N136">
        <v>12545.15</v>
      </c>
    </row>
    <row r="137" spans="1:14" x14ac:dyDescent="0.3">
      <c r="A137" t="s">
        <v>177</v>
      </c>
      <c r="B137" s="1">
        <v>45272</v>
      </c>
      <c r="C137" t="s">
        <v>39</v>
      </c>
      <c r="D137" t="s">
        <v>40</v>
      </c>
      <c r="E137" t="s">
        <v>16</v>
      </c>
      <c r="F137" t="s">
        <v>28</v>
      </c>
      <c r="G137">
        <v>7</v>
      </c>
      <c r="H137">
        <v>39114</v>
      </c>
      <c r="I137">
        <v>0</v>
      </c>
      <c r="J137" t="s">
        <v>18</v>
      </c>
      <c r="K137" t="s">
        <v>41</v>
      </c>
      <c r="L137" t="s">
        <v>37</v>
      </c>
      <c r="M137" t="s">
        <v>21</v>
      </c>
      <c r="N137">
        <v>273798</v>
      </c>
    </row>
    <row r="138" spans="1:14" x14ac:dyDescent="0.3">
      <c r="A138" t="s">
        <v>178</v>
      </c>
      <c r="B138" s="1">
        <v>44968</v>
      </c>
      <c r="C138" t="s">
        <v>32</v>
      </c>
      <c r="D138" t="s">
        <v>40</v>
      </c>
      <c r="E138" t="s">
        <v>27</v>
      </c>
      <c r="F138" t="s">
        <v>28</v>
      </c>
      <c r="G138">
        <v>4</v>
      </c>
      <c r="H138">
        <v>33339</v>
      </c>
      <c r="I138">
        <v>20003.399999999998</v>
      </c>
      <c r="J138" t="s">
        <v>36</v>
      </c>
      <c r="K138" t="s">
        <v>19</v>
      </c>
      <c r="L138" t="s">
        <v>37</v>
      </c>
      <c r="M138" t="s">
        <v>33</v>
      </c>
      <c r="N138">
        <v>113352.599999999</v>
      </c>
    </row>
    <row r="139" spans="1:14" x14ac:dyDescent="0.3">
      <c r="A139" t="s">
        <v>179</v>
      </c>
      <c r="B139" s="1">
        <v>45105</v>
      </c>
      <c r="C139" t="s">
        <v>46</v>
      </c>
      <c r="D139" t="s">
        <v>43</v>
      </c>
      <c r="E139" t="s">
        <v>44</v>
      </c>
      <c r="F139" t="s">
        <v>28</v>
      </c>
      <c r="G139">
        <v>2</v>
      </c>
      <c r="H139">
        <v>38533</v>
      </c>
      <c r="I139">
        <v>15413.2</v>
      </c>
      <c r="J139" t="s">
        <v>18</v>
      </c>
      <c r="K139" t="s">
        <v>19</v>
      </c>
      <c r="L139" t="s">
        <v>20</v>
      </c>
      <c r="M139" t="s">
        <v>21</v>
      </c>
      <c r="N139">
        <v>61652.800000000003</v>
      </c>
    </row>
    <row r="140" spans="1:14" x14ac:dyDescent="0.3">
      <c r="A140" t="s">
        <v>180</v>
      </c>
      <c r="B140" s="1">
        <v>44989</v>
      </c>
      <c r="C140" t="s">
        <v>26</v>
      </c>
      <c r="D140" t="s">
        <v>15</v>
      </c>
      <c r="E140" t="s">
        <v>16</v>
      </c>
      <c r="F140" t="s">
        <v>17</v>
      </c>
      <c r="G140">
        <v>5</v>
      </c>
      <c r="H140">
        <v>9002</v>
      </c>
      <c r="I140">
        <v>9002</v>
      </c>
      <c r="J140" t="s">
        <v>50</v>
      </c>
      <c r="K140" t="s">
        <v>30</v>
      </c>
      <c r="L140" t="s">
        <v>23</v>
      </c>
      <c r="M140" t="s">
        <v>24</v>
      </c>
      <c r="N140">
        <v>36008</v>
      </c>
    </row>
    <row r="141" spans="1:14" x14ac:dyDescent="0.3">
      <c r="A141" t="s">
        <v>181</v>
      </c>
      <c r="B141" s="1">
        <v>45278</v>
      </c>
      <c r="C141" t="s">
        <v>26</v>
      </c>
      <c r="D141" t="s">
        <v>43</v>
      </c>
      <c r="E141" t="s">
        <v>16</v>
      </c>
      <c r="F141" t="s">
        <v>49</v>
      </c>
      <c r="G141">
        <v>3</v>
      </c>
      <c r="H141">
        <v>8507</v>
      </c>
      <c r="I141">
        <v>1276.0500000000002</v>
      </c>
      <c r="J141" t="s">
        <v>36</v>
      </c>
      <c r="K141" t="s">
        <v>41</v>
      </c>
      <c r="L141" t="s">
        <v>23</v>
      </c>
      <c r="M141" t="s">
        <v>33</v>
      </c>
      <c r="N141">
        <v>24244.949999999899</v>
      </c>
    </row>
    <row r="142" spans="1:14" x14ac:dyDescent="0.3">
      <c r="A142" t="s">
        <v>182</v>
      </c>
      <c r="B142" s="1">
        <v>45157</v>
      </c>
      <c r="C142" t="s">
        <v>14</v>
      </c>
      <c r="D142" t="s">
        <v>15</v>
      </c>
      <c r="E142" t="s">
        <v>27</v>
      </c>
      <c r="F142" t="s">
        <v>28</v>
      </c>
      <c r="G142">
        <v>6</v>
      </c>
      <c r="H142">
        <v>40405</v>
      </c>
      <c r="I142">
        <v>0</v>
      </c>
      <c r="J142" t="s">
        <v>29</v>
      </c>
      <c r="K142" t="s">
        <v>30</v>
      </c>
      <c r="L142" t="s">
        <v>20</v>
      </c>
      <c r="M142" t="s">
        <v>24</v>
      </c>
      <c r="N142">
        <v>242430</v>
      </c>
    </row>
    <row r="143" spans="1:14" x14ac:dyDescent="0.3">
      <c r="A143" t="s">
        <v>183</v>
      </c>
      <c r="B143" s="1">
        <v>45167</v>
      </c>
      <c r="C143" t="s">
        <v>39</v>
      </c>
      <c r="D143" t="s">
        <v>15</v>
      </c>
      <c r="E143" t="s">
        <v>27</v>
      </c>
      <c r="F143" t="s">
        <v>28</v>
      </c>
      <c r="G143">
        <v>8</v>
      </c>
      <c r="H143">
        <v>33414</v>
      </c>
      <c r="I143">
        <v>53462.400000000001</v>
      </c>
      <c r="J143" t="s">
        <v>18</v>
      </c>
      <c r="K143" t="s">
        <v>30</v>
      </c>
      <c r="L143" t="s">
        <v>37</v>
      </c>
      <c r="M143" t="s">
        <v>24</v>
      </c>
      <c r="N143">
        <v>213849.60000000001</v>
      </c>
    </row>
    <row r="144" spans="1:14" x14ac:dyDescent="0.3">
      <c r="A144" t="s">
        <v>184</v>
      </c>
      <c r="B144" s="1">
        <v>44978</v>
      </c>
      <c r="C144" t="s">
        <v>26</v>
      </c>
      <c r="D144" t="s">
        <v>15</v>
      </c>
      <c r="E144" t="s">
        <v>27</v>
      </c>
      <c r="F144" t="s">
        <v>35</v>
      </c>
      <c r="G144">
        <v>7</v>
      </c>
      <c r="H144">
        <v>34359</v>
      </c>
      <c r="I144">
        <v>24051.300000000003</v>
      </c>
      <c r="J144" t="s">
        <v>29</v>
      </c>
      <c r="K144" t="s">
        <v>41</v>
      </c>
      <c r="L144" t="s">
        <v>23</v>
      </c>
      <c r="M144" t="s">
        <v>21</v>
      </c>
      <c r="N144">
        <v>216461.7</v>
      </c>
    </row>
    <row r="145" spans="1:14" x14ac:dyDescent="0.3">
      <c r="A145" t="s">
        <v>185</v>
      </c>
      <c r="B145" s="1">
        <v>45022</v>
      </c>
      <c r="C145" t="s">
        <v>39</v>
      </c>
      <c r="D145" t="s">
        <v>43</v>
      </c>
      <c r="E145" t="s">
        <v>44</v>
      </c>
      <c r="F145" t="s">
        <v>17</v>
      </c>
      <c r="G145">
        <v>3</v>
      </c>
      <c r="H145">
        <v>11716</v>
      </c>
      <c r="I145">
        <v>0</v>
      </c>
      <c r="J145" t="s">
        <v>29</v>
      </c>
      <c r="K145" t="s">
        <v>41</v>
      </c>
      <c r="L145" t="s">
        <v>20</v>
      </c>
      <c r="M145" t="s">
        <v>21</v>
      </c>
      <c r="N145">
        <v>35148</v>
      </c>
    </row>
    <row r="146" spans="1:14" x14ac:dyDescent="0.3">
      <c r="A146" t="s">
        <v>186</v>
      </c>
      <c r="B146" s="1">
        <v>45148</v>
      </c>
      <c r="C146" t="s">
        <v>26</v>
      </c>
      <c r="D146" t="s">
        <v>15</v>
      </c>
      <c r="E146" t="s">
        <v>16</v>
      </c>
      <c r="F146" t="s">
        <v>28</v>
      </c>
      <c r="G146">
        <v>8</v>
      </c>
      <c r="H146">
        <v>29286</v>
      </c>
      <c r="I146">
        <v>0</v>
      </c>
      <c r="J146" t="s">
        <v>36</v>
      </c>
      <c r="K146" t="s">
        <v>30</v>
      </c>
      <c r="L146" t="s">
        <v>20</v>
      </c>
      <c r="M146" t="s">
        <v>21</v>
      </c>
      <c r="N146">
        <v>234288</v>
      </c>
    </row>
    <row r="147" spans="1:14" x14ac:dyDescent="0.3">
      <c r="A147" t="s">
        <v>187</v>
      </c>
      <c r="B147" s="1">
        <v>45157</v>
      </c>
      <c r="C147" t="s">
        <v>32</v>
      </c>
      <c r="D147" t="s">
        <v>43</v>
      </c>
      <c r="E147" t="s">
        <v>27</v>
      </c>
      <c r="F147" t="s">
        <v>35</v>
      </c>
      <c r="G147">
        <v>2</v>
      </c>
      <c r="H147">
        <v>48422</v>
      </c>
      <c r="I147">
        <v>19368.8</v>
      </c>
      <c r="J147" t="s">
        <v>18</v>
      </c>
      <c r="K147" t="s">
        <v>19</v>
      </c>
      <c r="L147" t="s">
        <v>23</v>
      </c>
      <c r="M147" t="s">
        <v>24</v>
      </c>
      <c r="N147">
        <v>77475.199999999997</v>
      </c>
    </row>
    <row r="148" spans="1:14" x14ac:dyDescent="0.3">
      <c r="A148" t="s">
        <v>188</v>
      </c>
      <c r="B148" s="1">
        <v>45163</v>
      </c>
      <c r="C148" t="s">
        <v>46</v>
      </c>
      <c r="D148" t="s">
        <v>40</v>
      </c>
      <c r="E148" t="s">
        <v>44</v>
      </c>
      <c r="F148" t="s">
        <v>47</v>
      </c>
      <c r="G148">
        <v>9</v>
      </c>
      <c r="H148">
        <v>30680</v>
      </c>
      <c r="I148">
        <v>27612</v>
      </c>
      <c r="J148" t="s">
        <v>50</v>
      </c>
      <c r="K148" t="s">
        <v>30</v>
      </c>
      <c r="L148" t="s">
        <v>20</v>
      </c>
      <c r="M148" t="s">
        <v>33</v>
      </c>
      <c r="N148">
        <v>248508</v>
      </c>
    </row>
    <row r="149" spans="1:14" x14ac:dyDescent="0.3">
      <c r="A149" t="s">
        <v>189</v>
      </c>
      <c r="B149" s="1">
        <v>45069</v>
      </c>
      <c r="C149" t="s">
        <v>26</v>
      </c>
      <c r="D149" t="s">
        <v>40</v>
      </c>
      <c r="E149" t="s">
        <v>44</v>
      </c>
      <c r="F149" t="s">
        <v>28</v>
      </c>
      <c r="G149">
        <v>4</v>
      </c>
      <c r="H149">
        <v>44859</v>
      </c>
      <c r="I149">
        <v>8971.8000000000011</v>
      </c>
      <c r="J149" t="s">
        <v>29</v>
      </c>
      <c r="K149" t="s">
        <v>19</v>
      </c>
      <c r="L149" t="s">
        <v>37</v>
      </c>
      <c r="M149" t="s">
        <v>21</v>
      </c>
      <c r="N149">
        <v>170464.19999999899</v>
      </c>
    </row>
    <row r="150" spans="1:14" x14ac:dyDescent="0.3">
      <c r="A150" t="s">
        <v>190</v>
      </c>
      <c r="B150" s="1">
        <v>45097</v>
      </c>
      <c r="C150" t="s">
        <v>39</v>
      </c>
      <c r="D150" t="s">
        <v>15</v>
      </c>
      <c r="E150" t="s">
        <v>44</v>
      </c>
      <c r="F150" t="s">
        <v>28</v>
      </c>
      <c r="G150">
        <v>1</v>
      </c>
      <c r="H150">
        <v>47966</v>
      </c>
      <c r="I150">
        <v>9593.2000000000007</v>
      </c>
      <c r="J150" t="s">
        <v>36</v>
      </c>
      <c r="K150" t="s">
        <v>30</v>
      </c>
      <c r="L150" t="s">
        <v>20</v>
      </c>
      <c r="M150" t="s">
        <v>21</v>
      </c>
      <c r="N150">
        <v>38372.800000000003</v>
      </c>
    </row>
    <row r="151" spans="1:14" x14ac:dyDescent="0.3">
      <c r="A151" t="s">
        <v>191</v>
      </c>
      <c r="B151" s="1">
        <v>44955</v>
      </c>
      <c r="C151" t="s">
        <v>32</v>
      </c>
      <c r="D151" t="s">
        <v>43</v>
      </c>
      <c r="E151" t="s">
        <v>27</v>
      </c>
      <c r="F151" t="s">
        <v>35</v>
      </c>
      <c r="G151">
        <v>8</v>
      </c>
      <c r="H151">
        <v>38937</v>
      </c>
      <c r="I151">
        <v>31149.600000000002</v>
      </c>
      <c r="J151" t="s">
        <v>36</v>
      </c>
      <c r="K151" t="s">
        <v>41</v>
      </c>
      <c r="L151" t="s">
        <v>37</v>
      </c>
      <c r="M151" t="s">
        <v>24</v>
      </c>
      <c r="N151">
        <v>280346.40000000002</v>
      </c>
    </row>
    <row r="152" spans="1:14" x14ac:dyDescent="0.3">
      <c r="A152" t="s">
        <v>192</v>
      </c>
      <c r="B152" s="1">
        <v>44962</v>
      </c>
      <c r="C152" t="s">
        <v>26</v>
      </c>
      <c r="D152" t="s">
        <v>40</v>
      </c>
      <c r="E152" t="s">
        <v>27</v>
      </c>
      <c r="F152" t="s">
        <v>17</v>
      </c>
      <c r="G152">
        <v>7</v>
      </c>
      <c r="H152">
        <v>9465</v>
      </c>
      <c r="I152">
        <v>0</v>
      </c>
      <c r="J152" t="s">
        <v>50</v>
      </c>
      <c r="K152" t="s">
        <v>19</v>
      </c>
      <c r="L152" t="s">
        <v>37</v>
      </c>
      <c r="M152" t="s">
        <v>33</v>
      </c>
      <c r="N152">
        <v>66255</v>
      </c>
    </row>
    <row r="153" spans="1:14" x14ac:dyDescent="0.3">
      <c r="A153" t="s">
        <v>193</v>
      </c>
      <c r="B153" s="1">
        <v>44939</v>
      </c>
      <c r="C153" t="s">
        <v>14</v>
      </c>
      <c r="D153" t="s">
        <v>43</v>
      </c>
      <c r="E153" t="s">
        <v>16</v>
      </c>
      <c r="F153" t="s">
        <v>28</v>
      </c>
      <c r="G153">
        <v>5</v>
      </c>
      <c r="H153">
        <v>48829</v>
      </c>
      <c r="I153">
        <v>24414.5</v>
      </c>
      <c r="J153" t="s">
        <v>36</v>
      </c>
      <c r="K153" t="s">
        <v>41</v>
      </c>
      <c r="L153" t="s">
        <v>23</v>
      </c>
      <c r="M153" t="s">
        <v>24</v>
      </c>
      <c r="N153">
        <v>219730.5</v>
      </c>
    </row>
    <row r="154" spans="1:14" x14ac:dyDescent="0.3">
      <c r="A154" t="s">
        <v>194</v>
      </c>
      <c r="B154" s="1">
        <v>45086</v>
      </c>
      <c r="C154" t="s">
        <v>46</v>
      </c>
      <c r="D154" t="s">
        <v>43</v>
      </c>
      <c r="E154" t="s">
        <v>16</v>
      </c>
      <c r="F154" t="s">
        <v>47</v>
      </c>
      <c r="G154">
        <v>5</v>
      </c>
      <c r="H154">
        <v>5654</v>
      </c>
      <c r="I154">
        <v>0</v>
      </c>
      <c r="J154" t="s">
        <v>29</v>
      </c>
      <c r="K154" t="s">
        <v>41</v>
      </c>
      <c r="L154" t="s">
        <v>20</v>
      </c>
      <c r="M154" t="s">
        <v>21</v>
      </c>
      <c r="N154">
        <v>28270</v>
      </c>
    </row>
    <row r="155" spans="1:14" x14ac:dyDescent="0.3">
      <c r="A155" t="s">
        <v>195</v>
      </c>
      <c r="B155" s="1">
        <v>45253</v>
      </c>
      <c r="C155" t="s">
        <v>26</v>
      </c>
      <c r="D155" t="s">
        <v>15</v>
      </c>
      <c r="E155" t="s">
        <v>27</v>
      </c>
      <c r="F155" t="s">
        <v>28</v>
      </c>
      <c r="G155">
        <v>7</v>
      </c>
      <c r="H155">
        <v>36118</v>
      </c>
      <c r="I155">
        <v>50565.200000000004</v>
      </c>
      <c r="J155" t="s">
        <v>36</v>
      </c>
      <c r="K155" t="s">
        <v>41</v>
      </c>
      <c r="L155" t="s">
        <v>37</v>
      </c>
      <c r="M155" t="s">
        <v>24</v>
      </c>
      <c r="N155">
        <v>202260.8</v>
      </c>
    </row>
    <row r="156" spans="1:14" x14ac:dyDescent="0.3">
      <c r="A156" t="s">
        <v>196</v>
      </c>
      <c r="B156" s="1">
        <v>45113</v>
      </c>
      <c r="C156" t="s">
        <v>32</v>
      </c>
      <c r="D156" t="s">
        <v>40</v>
      </c>
      <c r="E156" t="s">
        <v>44</v>
      </c>
      <c r="F156" t="s">
        <v>47</v>
      </c>
      <c r="G156">
        <v>5</v>
      </c>
      <c r="H156">
        <v>26381</v>
      </c>
      <c r="I156">
        <v>26381</v>
      </c>
      <c r="J156" t="s">
        <v>18</v>
      </c>
      <c r="K156" t="s">
        <v>41</v>
      </c>
      <c r="L156" t="s">
        <v>37</v>
      </c>
      <c r="M156" t="s">
        <v>21</v>
      </c>
      <c r="N156">
        <v>105524</v>
      </c>
    </row>
    <row r="157" spans="1:14" x14ac:dyDescent="0.3">
      <c r="A157" t="s">
        <v>197</v>
      </c>
      <c r="B157" s="1">
        <v>45169</v>
      </c>
      <c r="C157" t="s">
        <v>14</v>
      </c>
      <c r="D157" t="s">
        <v>15</v>
      </c>
      <c r="E157" t="s">
        <v>44</v>
      </c>
      <c r="F157" t="s">
        <v>49</v>
      </c>
      <c r="G157">
        <v>8</v>
      </c>
      <c r="H157">
        <v>15586</v>
      </c>
      <c r="I157">
        <v>18703.2</v>
      </c>
      <c r="J157" t="s">
        <v>18</v>
      </c>
      <c r="K157" t="s">
        <v>41</v>
      </c>
      <c r="L157" t="s">
        <v>20</v>
      </c>
      <c r="M157" t="s">
        <v>33</v>
      </c>
      <c r="N157">
        <v>105984.8</v>
      </c>
    </row>
    <row r="158" spans="1:14" x14ac:dyDescent="0.3">
      <c r="A158" t="s">
        <v>198</v>
      </c>
      <c r="B158" s="1">
        <v>45012</v>
      </c>
      <c r="C158" t="s">
        <v>32</v>
      </c>
      <c r="D158" t="s">
        <v>15</v>
      </c>
      <c r="E158" t="s">
        <v>44</v>
      </c>
      <c r="F158" t="s">
        <v>49</v>
      </c>
      <c r="G158">
        <v>6</v>
      </c>
      <c r="H158">
        <v>39382</v>
      </c>
      <c r="I158">
        <v>35443.799999999996</v>
      </c>
      <c r="J158" t="s">
        <v>29</v>
      </c>
      <c r="K158" t="s">
        <v>30</v>
      </c>
      <c r="L158" t="s">
        <v>37</v>
      </c>
      <c r="M158" t="s">
        <v>24</v>
      </c>
      <c r="N158">
        <v>200848.19999999899</v>
      </c>
    </row>
    <row r="159" spans="1:14" x14ac:dyDescent="0.3">
      <c r="A159" t="s">
        <v>199</v>
      </c>
      <c r="B159" s="1">
        <v>45210</v>
      </c>
      <c r="C159" t="s">
        <v>32</v>
      </c>
      <c r="D159" t="s">
        <v>40</v>
      </c>
      <c r="E159" t="s">
        <v>16</v>
      </c>
      <c r="F159" t="s">
        <v>47</v>
      </c>
      <c r="G159">
        <v>5</v>
      </c>
      <c r="H159">
        <v>37625</v>
      </c>
      <c r="I159">
        <v>28218.75</v>
      </c>
      <c r="J159" t="s">
        <v>18</v>
      </c>
      <c r="K159" t="s">
        <v>19</v>
      </c>
      <c r="L159" t="s">
        <v>20</v>
      </c>
      <c r="M159" t="s">
        <v>21</v>
      </c>
      <c r="N159">
        <v>159906.25</v>
      </c>
    </row>
    <row r="160" spans="1:14" x14ac:dyDescent="0.3">
      <c r="A160" t="s">
        <v>200</v>
      </c>
      <c r="B160" s="1">
        <v>44992</v>
      </c>
      <c r="C160" t="s">
        <v>14</v>
      </c>
      <c r="D160" t="s">
        <v>40</v>
      </c>
      <c r="E160" t="s">
        <v>44</v>
      </c>
      <c r="F160" t="s">
        <v>17</v>
      </c>
      <c r="G160">
        <v>9</v>
      </c>
      <c r="H160">
        <v>43454</v>
      </c>
      <c r="I160">
        <v>78217.2</v>
      </c>
      <c r="J160" t="s">
        <v>50</v>
      </c>
      <c r="K160" t="s">
        <v>30</v>
      </c>
      <c r="L160" t="s">
        <v>23</v>
      </c>
      <c r="M160" t="s">
        <v>21</v>
      </c>
      <c r="N160">
        <v>312868.8</v>
      </c>
    </row>
    <row r="161" spans="1:14" x14ac:dyDescent="0.3">
      <c r="A161" t="s">
        <v>201</v>
      </c>
      <c r="B161" s="1">
        <v>45096</v>
      </c>
      <c r="C161" t="s">
        <v>32</v>
      </c>
      <c r="D161" t="s">
        <v>43</v>
      </c>
      <c r="E161" t="s">
        <v>16</v>
      </c>
      <c r="F161" t="s">
        <v>28</v>
      </c>
      <c r="G161">
        <v>2</v>
      </c>
      <c r="H161">
        <v>24527</v>
      </c>
      <c r="I161">
        <v>2452.7000000000003</v>
      </c>
      <c r="J161" t="s">
        <v>36</v>
      </c>
      <c r="K161" t="s">
        <v>30</v>
      </c>
      <c r="L161" t="s">
        <v>37</v>
      </c>
      <c r="M161" t="s">
        <v>21</v>
      </c>
      <c r="N161">
        <v>46601.299999999901</v>
      </c>
    </row>
    <row r="162" spans="1:14" x14ac:dyDescent="0.3">
      <c r="A162" t="s">
        <v>202</v>
      </c>
      <c r="B162" s="1">
        <v>44971</v>
      </c>
      <c r="C162" t="s">
        <v>14</v>
      </c>
      <c r="D162" t="s">
        <v>40</v>
      </c>
      <c r="E162" t="s">
        <v>16</v>
      </c>
      <c r="F162" t="s">
        <v>28</v>
      </c>
      <c r="G162">
        <v>1</v>
      </c>
      <c r="H162">
        <v>21381</v>
      </c>
      <c r="I162">
        <v>4276.2</v>
      </c>
      <c r="J162" t="s">
        <v>29</v>
      </c>
      <c r="K162" t="s">
        <v>30</v>
      </c>
      <c r="L162" t="s">
        <v>37</v>
      </c>
      <c r="M162" t="s">
        <v>21</v>
      </c>
      <c r="N162">
        <v>17104.8</v>
      </c>
    </row>
    <row r="163" spans="1:14" x14ac:dyDescent="0.3">
      <c r="A163" t="s">
        <v>203</v>
      </c>
      <c r="B163" s="1">
        <v>44988</v>
      </c>
      <c r="C163" t="s">
        <v>26</v>
      </c>
      <c r="D163" t="s">
        <v>43</v>
      </c>
      <c r="E163" t="s">
        <v>44</v>
      </c>
      <c r="F163" t="s">
        <v>49</v>
      </c>
      <c r="G163">
        <v>8</v>
      </c>
      <c r="H163">
        <v>47862</v>
      </c>
      <c r="I163">
        <v>38289.599999999999</v>
      </c>
      <c r="J163" t="s">
        <v>50</v>
      </c>
      <c r="K163" t="s">
        <v>41</v>
      </c>
      <c r="L163" t="s">
        <v>20</v>
      </c>
      <c r="M163" t="s">
        <v>24</v>
      </c>
      <c r="N163">
        <v>344606.4</v>
      </c>
    </row>
    <row r="164" spans="1:14" x14ac:dyDescent="0.3">
      <c r="A164" t="s">
        <v>204</v>
      </c>
      <c r="B164" s="1">
        <v>45060</v>
      </c>
      <c r="C164" t="s">
        <v>14</v>
      </c>
      <c r="D164" t="s">
        <v>43</v>
      </c>
      <c r="E164" t="s">
        <v>44</v>
      </c>
      <c r="F164" t="s">
        <v>47</v>
      </c>
      <c r="G164">
        <v>3</v>
      </c>
      <c r="H164">
        <v>21652</v>
      </c>
      <c r="I164">
        <v>12991.2</v>
      </c>
      <c r="J164" t="s">
        <v>36</v>
      </c>
      <c r="K164" t="s">
        <v>30</v>
      </c>
      <c r="L164" t="s">
        <v>20</v>
      </c>
      <c r="M164" t="s">
        <v>21</v>
      </c>
      <c r="N164">
        <v>51964.800000000003</v>
      </c>
    </row>
    <row r="165" spans="1:14" x14ac:dyDescent="0.3">
      <c r="A165" t="s">
        <v>205</v>
      </c>
      <c r="B165" s="1">
        <v>45210</v>
      </c>
      <c r="C165" t="s">
        <v>14</v>
      </c>
      <c r="D165" t="s">
        <v>43</v>
      </c>
      <c r="E165" t="s">
        <v>27</v>
      </c>
      <c r="F165" t="s">
        <v>28</v>
      </c>
      <c r="G165">
        <v>7</v>
      </c>
      <c r="H165">
        <v>38448</v>
      </c>
      <c r="I165">
        <v>53827.200000000004</v>
      </c>
      <c r="J165" t="s">
        <v>50</v>
      </c>
      <c r="K165" t="s">
        <v>19</v>
      </c>
      <c r="L165" t="s">
        <v>20</v>
      </c>
      <c r="M165" t="s">
        <v>24</v>
      </c>
      <c r="N165">
        <v>215308.79999999999</v>
      </c>
    </row>
    <row r="166" spans="1:14" x14ac:dyDescent="0.3">
      <c r="A166" t="s">
        <v>206</v>
      </c>
      <c r="B166" s="1">
        <v>44954</v>
      </c>
      <c r="C166" t="s">
        <v>46</v>
      </c>
      <c r="D166" t="s">
        <v>40</v>
      </c>
      <c r="E166" t="s">
        <v>27</v>
      </c>
      <c r="F166" t="s">
        <v>28</v>
      </c>
      <c r="G166">
        <v>8</v>
      </c>
      <c r="H166">
        <v>41001</v>
      </c>
      <c r="I166">
        <v>0</v>
      </c>
      <c r="J166" t="s">
        <v>29</v>
      </c>
      <c r="K166" t="s">
        <v>30</v>
      </c>
      <c r="L166" t="s">
        <v>20</v>
      </c>
      <c r="M166" t="s">
        <v>21</v>
      </c>
      <c r="N166">
        <v>328008</v>
      </c>
    </row>
    <row r="167" spans="1:14" x14ac:dyDescent="0.3">
      <c r="A167" t="s">
        <v>207</v>
      </c>
      <c r="B167" s="1">
        <v>45034</v>
      </c>
      <c r="C167" t="s">
        <v>14</v>
      </c>
      <c r="D167" t="s">
        <v>15</v>
      </c>
      <c r="E167" t="s">
        <v>44</v>
      </c>
      <c r="F167" t="s">
        <v>17</v>
      </c>
      <c r="G167">
        <v>6</v>
      </c>
      <c r="H167">
        <v>33951</v>
      </c>
      <c r="I167">
        <v>0</v>
      </c>
      <c r="J167" t="s">
        <v>29</v>
      </c>
      <c r="K167" t="s">
        <v>41</v>
      </c>
      <c r="L167" t="s">
        <v>37</v>
      </c>
      <c r="M167" t="s">
        <v>24</v>
      </c>
      <c r="N167">
        <v>203706</v>
      </c>
    </row>
    <row r="168" spans="1:14" x14ac:dyDescent="0.3">
      <c r="A168" t="s">
        <v>208</v>
      </c>
      <c r="B168" s="1">
        <v>44970</v>
      </c>
      <c r="C168" t="s">
        <v>14</v>
      </c>
      <c r="D168" t="s">
        <v>43</v>
      </c>
      <c r="E168" t="s">
        <v>16</v>
      </c>
      <c r="F168" t="s">
        <v>35</v>
      </c>
      <c r="G168">
        <v>9</v>
      </c>
      <c r="H168">
        <v>22191</v>
      </c>
      <c r="I168">
        <v>0</v>
      </c>
      <c r="J168" t="s">
        <v>50</v>
      </c>
      <c r="K168" t="s">
        <v>19</v>
      </c>
      <c r="L168" t="s">
        <v>23</v>
      </c>
      <c r="M168" t="s">
        <v>24</v>
      </c>
      <c r="N168">
        <v>199719</v>
      </c>
    </row>
    <row r="169" spans="1:14" x14ac:dyDescent="0.3">
      <c r="A169" t="s">
        <v>209</v>
      </c>
      <c r="B169" s="1">
        <v>45266</v>
      </c>
      <c r="C169" t="s">
        <v>26</v>
      </c>
      <c r="D169" t="s">
        <v>15</v>
      </c>
      <c r="E169" t="s">
        <v>16</v>
      </c>
      <c r="F169" t="s">
        <v>49</v>
      </c>
      <c r="G169">
        <v>7</v>
      </c>
      <c r="H169">
        <v>41511</v>
      </c>
      <c r="I169">
        <v>58115.4</v>
      </c>
      <c r="J169" t="s">
        <v>36</v>
      </c>
      <c r="K169" t="s">
        <v>19</v>
      </c>
      <c r="L169" t="s">
        <v>23</v>
      </c>
      <c r="M169" t="s">
        <v>21</v>
      </c>
      <c r="N169">
        <v>232461.6</v>
      </c>
    </row>
    <row r="170" spans="1:14" x14ac:dyDescent="0.3">
      <c r="A170" t="s">
        <v>210</v>
      </c>
      <c r="B170" s="1">
        <v>45212</v>
      </c>
      <c r="C170" t="s">
        <v>46</v>
      </c>
      <c r="D170" t="s">
        <v>15</v>
      </c>
      <c r="E170" t="s">
        <v>16</v>
      </c>
      <c r="F170" t="s">
        <v>49</v>
      </c>
      <c r="G170">
        <v>5</v>
      </c>
      <c r="H170">
        <v>10116</v>
      </c>
      <c r="I170">
        <v>2529</v>
      </c>
      <c r="J170" t="s">
        <v>18</v>
      </c>
      <c r="K170" t="s">
        <v>19</v>
      </c>
      <c r="L170" t="s">
        <v>23</v>
      </c>
      <c r="M170" t="s">
        <v>21</v>
      </c>
      <c r="N170">
        <v>48051</v>
      </c>
    </row>
    <row r="171" spans="1:14" x14ac:dyDescent="0.3">
      <c r="A171" t="s">
        <v>211</v>
      </c>
      <c r="B171" s="1">
        <v>45257</v>
      </c>
      <c r="C171" t="s">
        <v>39</v>
      </c>
      <c r="D171" t="s">
        <v>40</v>
      </c>
      <c r="E171" t="s">
        <v>16</v>
      </c>
      <c r="F171" t="s">
        <v>35</v>
      </c>
      <c r="G171">
        <v>8</v>
      </c>
      <c r="H171">
        <v>10343</v>
      </c>
      <c r="I171">
        <v>8274.4</v>
      </c>
      <c r="J171" t="s">
        <v>18</v>
      </c>
      <c r="K171" t="s">
        <v>19</v>
      </c>
      <c r="L171" t="s">
        <v>23</v>
      </c>
      <c r="M171" t="s">
        <v>21</v>
      </c>
      <c r="N171">
        <v>74469.600000000006</v>
      </c>
    </row>
    <row r="172" spans="1:14" x14ac:dyDescent="0.3">
      <c r="A172" t="s">
        <v>212</v>
      </c>
      <c r="B172" s="1">
        <v>45054</v>
      </c>
      <c r="C172" t="s">
        <v>26</v>
      </c>
      <c r="D172" t="s">
        <v>15</v>
      </c>
      <c r="E172" t="s">
        <v>16</v>
      </c>
      <c r="F172" t="s">
        <v>28</v>
      </c>
      <c r="G172">
        <v>2</v>
      </c>
      <c r="H172">
        <v>26055</v>
      </c>
      <c r="I172">
        <v>5211</v>
      </c>
      <c r="J172" t="s">
        <v>50</v>
      </c>
      <c r="K172" t="s">
        <v>30</v>
      </c>
      <c r="L172" t="s">
        <v>20</v>
      </c>
      <c r="M172" t="s">
        <v>21</v>
      </c>
      <c r="N172">
        <v>46899</v>
      </c>
    </row>
    <row r="173" spans="1:14" x14ac:dyDescent="0.3">
      <c r="A173" t="s">
        <v>213</v>
      </c>
      <c r="B173" s="1">
        <v>45274</v>
      </c>
      <c r="C173" t="s">
        <v>26</v>
      </c>
      <c r="D173" t="s">
        <v>15</v>
      </c>
      <c r="E173" t="s">
        <v>27</v>
      </c>
      <c r="F173" t="s">
        <v>17</v>
      </c>
      <c r="G173">
        <v>7</v>
      </c>
      <c r="H173">
        <v>15781</v>
      </c>
      <c r="I173">
        <v>5523.35</v>
      </c>
      <c r="J173" t="s">
        <v>29</v>
      </c>
      <c r="K173" t="s">
        <v>41</v>
      </c>
      <c r="L173" t="s">
        <v>37</v>
      </c>
      <c r="M173" t="s">
        <v>33</v>
      </c>
      <c r="N173">
        <v>104943.65</v>
      </c>
    </row>
    <row r="174" spans="1:14" x14ac:dyDescent="0.3">
      <c r="A174" t="s">
        <v>214</v>
      </c>
      <c r="B174" s="1">
        <v>45157</v>
      </c>
      <c r="C174" t="s">
        <v>39</v>
      </c>
      <c r="D174" t="s">
        <v>40</v>
      </c>
      <c r="E174" t="s">
        <v>44</v>
      </c>
      <c r="F174" t="s">
        <v>17</v>
      </c>
      <c r="G174">
        <v>4</v>
      </c>
      <c r="H174">
        <v>2107</v>
      </c>
      <c r="I174">
        <v>421.40000000000003</v>
      </c>
      <c r="J174" t="s">
        <v>36</v>
      </c>
      <c r="K174" t="s">
        <v>19</v>
      </c>
      <c r="L174" t="s">
        <v>37</v>
      </c>
      <c r="M174" t="s">
        <v>21</v>
      </c>
      <c r="N174">
        <v>8006.5999999999904</v>
      </c>
    </row>
    <row r="175" spans="1:14" x14ac:dyDescent="0.3">
      <c r="A175" t="s">
        <v>215</v>
      </c>
      <c r="B175" s="1">
        <v>45116</v>
      </c>
      <c r="C175" t="s">
        <v>14</v>
      </c>
      <c r="D175" t="s">
        <v>43</v>
      </c>
      <c r="E175" t="s">
        <v>27</v>
      </c>
      <c r="F175" t="s">
        <v>49</v>
      </c>
      <c r="G175">
        <v>9</v>
      </c>
      <c r="H175">
        <v>29624</v>
      </c>
      <c r="I175">
        <v>26661.600000000002</v>
      </c>
      <c r="J175" t="s">
        <v>36</v>
      </c>
      <c r="K175" t="s">
        <v>19</v>
      </c>
      <c r="L175" t="s">
        <v>37</v>
      </c>
      <c r="M175" t="s">
        <v>21</v>
      </c>
      <c r="N175">
        <v>239954.4</v>
      </c>
    </row>
    <row r="176" spans="1:14" x14ac:dyDescent="0.3">
      <c r="A176" t="s">
        <v>216</v>
      </c>
      <c r="B176" s="1">
        <v>45151</v>
      </c>
      <c r="C176" t="s">
        <v>32</v>
      </c>
      <c r="D176" t="s">
        <v>15</v>
      </c>
      <c r="E176" t="s">
        <v>16</v>
      </c>
      <c r="F176" t="s">
        <v>17</v>
      </c>
      <c r="G176">
        <v>1</v>
      </c>
      <c r="H176">
        <v>23508</v>
      </c>
      <c r="I176">
        <v>3526.2</v>
      </c>
      <c r="J176" t="s">
        <v>29</v>
      </c>
      <c r="K176" t="s">
        <v>41</v>
      </c>
      <c r="L176" t="s">
        <v>20</v>
      </c>
      <c r="M176" t="s">
        <v>21</v>
      </c>
      <c r="N176">
        <v>19981.8</v>
      </c>
    </row>
    <row r="177" spans="1:14" x14ac:dyDescent="0.3">
      <c r="A177" t="s">
        <v>217</v>
      </c>
      <c r="B177" s="1">
        <v>45209</v>
      </c>
      <c r="C177" t="s">
        <v>46</v>
      </c>
      <c r="D177" t="s">
        <v>40</v>
      </c>
      <c r="E177" t="s">
        <v>16</v>
      </c>
      <c r="F177" t="s">
        <v>35</v>
      </c>
      <c r="G177">
        <v>7</v>
      </c>
      <c r="H177">
        <v>42184</v>
      </c>
      <c r="I177">
        <v>0</v>
      </c>
      <c r="J177" t="s">
        <v>18</v>
      </c>
      <c r="K177" t="s">
        <v>30</v>
      </c>
      <c r="L177" t="s">
        <v>37</v>
      </c>
      <c r="M177" t="s">
        <v>24</v>
      </c>
      <c r="N177">
        <v>295288</v>
      </c>
    </row>
    <row r="178" spans="1:14" x14ac:dyDescent="0.3">
      <c r="A178" t="s">
        <v>218</v>
      </c>
      <c r="B178" s="1">
        <v>45047</v>
      </c>
      <c r="C178" t="s">
        <v>32</v>
      </c>
      <c r="D178" t="s">
        <v>15</v>
      </c>
      <c r="E178" t="s">
        <v>16</v>
      </c>
      <c r="F178" t="s">
        <v>28</v>
      </c>
      <c r="G178">
        <v>6</v>
      </c>
      <c r="H178">
        <v>41705</v>
      </c>
      <c r="I178">
        <v>0</v>
      </c>
      <c r="J178" t="s">
        <v>36</v>
      </c>
      <c r="K178" t="s">
        <v>19</v>
      </c>
      <c r="L178" t="s">
        <v>20</v>
      </c>
      <c r="M178" t="s">
        <v>21</v>
      </c>
      <c r="N178">
        <v>250230</v>
      </c>
    </row>
    <row r="179" spans="1:14" x14ac:dyDescent="0.3">
      <c r="A179" t="s">
        <v>219</v>
      </c>
      <c r="B179" s="1">
        <v>45042</v>
      </c>
      <c r="C179" t="s">
        <v>39</v>
      </c>
      <c r="D179" t="s">
        <v>15</v>
      </c>
      <c r="E179" t="s">
        <v>16</v>
      </c>
      <c r="F179" t="s">
        <v>35</v>
      </c>
      <c r="G179">
        <v>8</v>
      </c>
      <c r="H179">
        <v>46725</v>
      </c>
      <c r="I179">
        <v>37380</v>
      </c>
      <c r="J179" t="s">
        <v>50</v>
      </c>
      <c r="K179" t="s">
        <v>30</v>
      </c>
      <c r="L179" t="s">
        <v>37</v>
      </c>
      <c r="M179" t="s">
        <v>24</v>
      </c>
      <c r="N179">
        <v>336420</v>
      </c>
    </row>
    <row r="180" spans="1:14" x14ac:dyDescent="0.3">
      <c r="A180" t="s">
        <v>220</v>
      </c>
      <c r="B180" s="1">
        <v>45159</v>
      </c>
      <c r="C180" t="s">
        <v>26</v>
      </c>
      <c r="D180" t="s">
        <v>43</v>
      </c>
      <c r="E180" t="s">
        <v>44</v>
      </c>
      <c r="F180" t="s">
        <v>47</v>
      </c>
      <c r="G180">
        <v>5</v>
      </c>
      <c r="H180">
        <v>37142</v>
      </c>
      <c r="I180">
        <v>9285.5</v>
      </c>
      <c r="J180" t="s">
        <v>18</v>
      </c>
      <c r="K180" t="s">
        <v>30</v>
      </c>
      <c r="L180" t="s">
        <v>23</v>
      </c>
      <c r="M180" t="s">
        <v>24</v>
      </c>
      <c r="N180">
        <v>176424.5</v>
      </c>
    </row>
    <row r="181" spans="1:14" x14ac:dyDescent="0.3">
      <c r="A181" t="s">
        <v>221</v>
      </c>
      <c r="B181" s="1">
        <v>45185</v>
      </c>
      <c r="C181" t="s">
        <v>26</v>
      </c>
      <c r="D181" t="s">
        <v>15</v>
      </c>
      <c r="E181" t="s">
        <v>16</v>
      </c>
      <c r="F181" t="s">
        <v>49</v>
      </c>
      <c r="G181">
        <v>1</v>
      </c>
      <c r="H181">
        <v>27157</v>
      </c>
      <c r="I181">
        <v>4073.5499999999997</v>
      </c>
      <c r="J181" t="s">
        <v>50</v>
      </c>
      <c r="K181" t="s">
        <v>30</v>
      </c>
      <c r="L181" t="s">
        <v>20</v>
      </c>
      <c r="M181" t="s">
        <v>24</v>
      </c>
      <c r="N181">
        <v>23083.45</v>
      </c>
    </row>
    <row r="182" spans="1:14" x14ac:dyDescent="0.3">
      <c r="A182" t="s">
        <v>222</v>
      </c>
      <c r="B182" s="1">
        <v>45285</v>
      </c>
      <c r="C182" t="s">
        <v>46</v>
      </c>
      <c r="D182" t="s">
        <v>40</v>
      </c>
      <c r="E182" t="s">
        <v>44</v>
      </c>
      <c r="F182" t="s">
        <v>17</v>
      </c>
      <c r="G182">
        <v>1</v>
      </c>
      <c r="H182">
        <v>25664</v>
      </c>
      <c r="I182">
        <v>2566.4</v>
      </c>
      <c r="J182" t="s">
        <v>18</v>
      </c>
      <c r="K182" t="s">
        <v>30</v>
      </c>
      <c r="L182" t="s">
        <v>37</v>
      </c>
      <c r="M182" t="s">
        <v>24</v>
      </c>
      <c r="N182">
        <v>23097.599999999999</v>
      </c>
    </row>
    <row r="183" spans="1:14" x14ac:dyDescent="0.3">
      <c r="A183" t="s">
        <v>223</v>
      </c>
      <c r="B183" s="1">
        <v>45124</v>
      </c>
      <c r="C183" t="s">
        <v>26</v>
      </c>
      <c r="D183" t="s">
        <v>15</v>
      </c>
      <c r="E183" t="s">
        <v>16</v>
      </c>
      <c r="F183" t="s">
        <v>47</v>
      </c>
      <c r="G183">
        <v>9</v>
      </c>
      <c r="H183">
        <v>48676</v>
      </c>
      <c r="I183">
        <v>0</v>
      </c>
      <c r="J183" t="s">
        <v>29</v>
      </c>
      <c r="K183" t="s">
        <v>19</v>
      </c>
      <c r="L183" t="s">
        <v>23</v>
      </c>
      <c r="M183" t="s">
        <v>33</v>
      </c>
      <c r="N183">
        <v>438084</v>
      </c>
    </row>
    <row r="184" spans="1:14" x14ac:dyDescent="0.3">
      <c r="A184" t="s">
        <v>224</v>
      </c>
      <c r="B184" s="1">
        <v>45063</v>
      </c>
      <c r="C184" t="s">
        <v>26</v>
      </c>
      <c r="D184" t="s">
        <v>43</v>
      </c>
      <c r="E184" t="s">
        <v>44</v>
      </c>
      <c r="F184" t="s">
        <v>17</v>
      </c>
      <c r="G184">
        <v>6</v>
      </c>
      <c r="H184">
        <v>23849</v>
      </c>
      <c r="I184">
        <v>28618.800000000003</v>
      </c>
      <c r="J184" t="s">
        <v>50</v>
      </c>
      <c r="K184" t="s">
        <v>19</v>
      </c>
      <c r="L184" t="s">
        <v>23</v>
      </c>
      <c r="M184" t="s">
        <v>21</v>
      </c>
      <c r="N184">
        <v>114475.2</v>
      </c>
    </row>
    <row r="185" spans="1:14" x14ac:dyDescent="0.3">
      <c r="A185" t="s">
        <v>225</v>
      </c>
      <c r="B185" s="1">
        <v>45244</v>
      </c>
      <c r="C185" t="s">
        <v>46</v>
      </c>
      <c r="D185" t="s">
        <v>43</v>
      </c>
      <c r="E185" t="s">
        <v>27</v>
      </c>
      <c r="F185" t="s">
        <v>28</v>
      </c>
      <c r="G185">
        <v>5</v>
      </c>
      <c r="H185">
        <v>42265</v>
      </c>
      <c r="I185">
        <v>10566.25</v>
      </c>
      <c r="J185" t="s">
        <v>50</v>
      </c>
      <c r="K185" t="s">
        <v>30</v>
      </c>
      <c r="L185" t="s">
        <v>23</v>
      </c>
      <c r="M185" t="s">
        <v>24</v>
      </c>
      <c r="N185">
        <v>200758.75</v>
      </c>
    </row>
    <row r="186" spans="1:14" x14ac:dyDescent="0.3">
      <c r="A186" t="s">
        <v>226</v>
      </c>
      <c r="B186" s="1">
        <v>45091</v>
      </c>
      <c r="C186" t="s">
        <v>46</v>
      </c>
      <c r="D186" t="s">
        <v>40</v>
      </c>
      <c r="E186" t="s">
        <v>16</v>
      </c>
      <c r="F186" t="s">
        <v>28</v>
      </c>
      <c r="G186">
        <v>1</v>
      </c>
      <c r="H186">
        <v>27325</v>
      </c>
      <c r="I186">
        <v>5465</v>
      </c>
      <c r="J186" t="s">
        <v>29</v>
      </c>
      <c r="K186" t="s">
        <v>30</v>
      </c>
      <c r="L186" t="s">
        <v>20</v>
      </c>
      <c r="M186" t="s">
        <v>21</v>
      </c>
      <c r="N186">
        <v>21860</v>
      </c>
    </row>
    <row r="187" spans="1:14" x14ac:dyDescent="0.3">
      <c r="A187" t="s">
        <v>227</v>
      </c>
      <c r="B187" s="1">
        <v>45151</v>
      </c>
      <c r="C187" t="s">
        <v>39</v>
      </c>
      <c r="D187" t="s">
        <v>43</v>
      </c>
      <c r="E187" t="s">
        <v>44</v>
      </c>
      <c r="F187" t="s">
        <v>28</v>
      </c>
      <c r="G187">
        <v>6</v>
      </c>
      <c r="H187">
        <v>34958</v>
      </c>
      <c r="I187">
        <v>20974.800000000003</v>
      </c>
      <c r="J187" t="s">
        <v>50</v>
      </c>
      <c r="K187" t="s">
        <v>41</v>
      </c>
      <c r="L187" t="s">
        <v>20</v>
      </c>
      <c r="M187" t="s">
        <v>24</v>
      </c>
      <c r="N187">
        <v>188773.2</v>
      </c>
    </row>
    <row r="188" spans="1:14" x14ac:dyDescent="0.3">
      <c r="A188" t="s">
        <v>228</v>
      </c>
      <c r="B188" s="1">
        <v>45233</v>
      </c>
      <c r="C188" t="s">
        <v>26</v>
      </c>
      <c r="D188" t="s">
        <v>15</v>
      </c>
      <c r="E188" t="s">
        <v>27</v>
      </c>
      <c r="F188" t="s">
        <v>17</v>
      </c>
      <c r="G188">
        <v>6</v>
      </c>
      <c r="H188">
        <v>5796</v>
      </c>
      <c r="I188">
        <v>0</v>
      </c>
      <c r="J188" t="s">
        <v>18</v>
      </c>
      <c r="K188" t="s">
        <v>41</v>
      </c>
      <c r="L188" t="s">
        <v>37</v>
      </c>
      <c r="M188" t="s">
        <v>33</v>
      </c>
      <c r="N188">
        <v>34776</v>
      </c>
    </row>
    <row r="189" spans="1:14" x14ac:dyDescent="0.3">
      <c r="A189" t="s">
        <v>229</v>
      </c>
      <c r="B189" s="1">
        <v>45160</v>
      </c>
      <c r="C189" t="s">
        <v>26</v>
      </c>
      <c r="D189" t="s">
        <v>43</v>
      </c>
      <c r="E189" t="s">
        <v>16</v>
      </c>
      <c r="F189" t="s">
        <v>47</v>
      </c>
      <c r="G189">
        <v>3</v>
      </c>
      <c r="H189">
        <v>16574</v>
      </c>
      <c r="I189">
        <v>7458.2999999999993</v>
      </c>
      <c r="J189" t="s">
        <v>36</v>
      </c>
      <c r="K189" t="s">
        <v>41</v>
      </c>
      <c r="L189" t="s">
        <v>23</v>
      </c>
      <c r="M189" t="s">
        <v>24</v>
      </c>
      <c r="N189">
        <v>42263.7</v>
      </c>
    </row>
    <row r="190" spans="1:14" x14ac:dyDescent="0.3">
      <c r="A190" t="s">
        <v>230</v>
      </c>
      <c r="B190" s="1">
        <v>45098</v>
      </c>
      <c r="C190" t="s">
        <v>39</v>
      </c>
      <c r="D190" t="s">
        <v>40</v>
      </c>
      <c r="E190" t="s">
        <v>16</v>
      </c>
      <c r="F190" t="s">
        <v>28</v>
      </c>
      <c r="G190">
        <v>8</v>
      </c>
      <c r="H190">
        <v>3975</v>
      </c>
      <c r="I190">
        <v>6360</v>
      </c>
      <c r="J190" t="s">
        <v>36</v>
      </c>
      <c r="K190" t="s">
        <v>19</v>
      </c>
      <c r="L190" t="s">
        <v>37</v>
      </c>
      <c r="M190" t="s">
        <v>21</v>
      </c>
      <c r="N190">
        <v>25440</v>
      </c>
    </row>
    <row r="191" spans="1:14" x14ac:dyDescent="0.3">
      <c r="A191" t="s">
        <v>231</v>
      </c>
      <c r="B191" s="1">
        <v>45078</v>
      </c>
      <c r="C191" t="s">
        <v>14</v>
      </c>
      <c r="D191" t="s">
        <v>43</v>
      </c>
      <c r="E191" t="s">
        <v>16</v>
      </c>
      <c r="F191" t="s">
        <v>47</v>
      </c>
      <c r="G191">
        <v>1</v>
      </c>
      <c r="H191">
        <v>27588</v>
      </c>
      <c r="I191">
        <v>4138.2</v>
      </c>
      <c r="J191" t="s">
        <v>29</v>
      </c>
      <c r="K191" t="s">
        <v>41</v>
      </c>
      <c r="L191" t="s">
        <v>37</v>
      </c>
      <c r="M191" t="s">
        <v>21</v>
      </c>
      <c r="N191">
        <v>23449.8</v>
      </c>
    </row>
    <row r="192" spans="1:14" x14ac:dyDescent="0.3">
      <c r="A192" t="s">
        <v>232</v>
      </c>
      <c r="B192" s="1">
        <v>45241</v>
      </c>
      <c r="C192" t="s">
        <v>14</v>
      </c>
      <c r="D192" t="s">
        <v>43</v>
      </c>
      <c r="E192" t="s">
        <v>44</v>
      </c>
      <c r="F192" t="s">
        <v>17</v>
      </c>
      <c r="G192">
        <v>1</v>
      </c>
      <c r="H192">
        <v>21229</v>
      </c>
      <c r="I192">
        <v>0</v>
      </c>
      <c r="J192" t="s">
        <v>18</v>
      </c>
      <c r="K192" t="s">
        <v>19</v>
      </c>
      <c r="L192" t="s">
        <v>23</v>
      </c>
      <c r="M192" t="s">
        <v>33</v>
      </c>
      <c r="N192">
        <v>21229</v>
      </c>
    </row>
    <row r="193" spans="1:14" x14ac:dyDescent="0.3">
      <c r="A193" t="s">
        <v>233</v>
      </c>
      <c r="B193" s="1">
        <v>45086</v>
      </c>
      <c r="C193" t="s">
        <v>14</v>
      </c>
      <c r="D193" t="s">
        <v>43</v>
      </c>
      <c r="E193" t="s">
        <v>44</v>
      </c>
      <c r="F193" t="s">
        <v>47</v>
      </c>
      <c r="G193">
        <v>6</v>
      </c>
      <c r="H193">
        <v>18645</v>
      </c>
      <c r="I193">
        <v>22374</v>
      </c>
      <c r="J193" t="s">
        <v>50</v>
      </c>
      <c r="K193" t="s">
        <v>19</v>
      </c>
      <c r="L193" t="s">
        <v>37</v>
      </c>
      <c r="M193" t="s">
        <v>21</v>
      </c>
      <c r="N193">
        <v>89496</v>
      </c>
    </row>
    <row r="194" spans="1:14" x14ac:dyDescent="0.3">
      <c r="A194" t="s">
        <v>234</v>
      </c>
      <c r="B194" s="1">
        <v>45022</v>
      </c>
      <c r="C194" t="s">
        <v>39</v>
      </c>
      <c r="D194" t="s">
        <v>40</v>
      </c>
      <c r="E194" t="s">
        <v>27</v>
      </c>
      <c r="F194" t="s">
        <v>17</v>
      </c>
      <c r="G194">
        <v>1</v>
      </c>
      <c r="H194">
        <v>48674</v>
      </c>
      <c r="I194">
        <v>7301.0999999999995</v>
      </c>
      <c r="J194" t="s">
        <v>50</v>
      </c>
      <c r="K194" t="s">
        <v>19</v>
      </c>
      <c r="L194" t="s">
        <v>20</v>
      </c>
      <c r="M194" t="s">
        <v>21</v>
      </c>
      <c r="N194">
        <v>41372.9</v>
      </c>
    </row>
    <row r="195" spans="1:14" x14ac:dyDescent="0.3">
      <c r="A195" t="s">
        <v>235</v>
      </c>
      <c r="B195" s="1">
        <v>45159</v>
      </c>
      <c r="C195" t="s">
        <v>26</v>
      </c>
      <c r="D195" t="s">
        <v>43</v>
      </c>
      <c r="E195" t="s">
        <v>44</v>
      </c>
      <c r="F195" t="s">
        <v>17</v>
      </c>
      <c r="G195">
        <v>6</v>
      </c>
      <c r="H195">
        <v>14845</v>
      </c>
      <c r="I195">
        <v>13360.5</v>
      </c>
      <c r="J195" t="s">
        <v>36</v>
      </c>
      <c r="K195" t="s">
        <v>19</v>
      </c>
      <c r="L195" t="s">
        <v>37</v>
      </c>
      <c r="M195" t="s">
        <v>24</v>
      </c>
      <c r="N195">
        <v>75709.5</v>
      </c>
    </row>
    <row r="196" spans="1:14" x14ac:dyDescent="0.3">
      <c r="A196" t="s">
        <v>236</v>
      </c>
      <c r="B196" s="1">
        <v>45106</v>
      </c>
      <c r="C196" t="s">
        <v>39</v>
      </c>
      <c r="D196" t="s">
        <v>43</v>
      </c>
      <c r="E196" t="s">
        <v>44</v>
      </c>
      <c r="F196" t="s">
        <v>49</v>
      </c>
      <c r="G196">
        <v>1</v>
      </c>
      <c r="H196">
        <v>31305</v>
      </c>
      <c r="I196">
        <v>6261</v>
      </c>
      <c r="J196" t="s">
        <v>50</v>
      </c>
      <c r="K196" t="s">
        <v>41</v>
      </c>
      <c r="L196" t="s">
        <v>23</v>
      </c>
      <c r="M196" t="s">
        <v>21</v>
      </c>
      <c r="N196">
        <v>25044</v>
      </c>
    </row>
    <row r="197" spans="1:14" x14ac:dyDescent="0.3">
      <c r="A197" t="s">
        <v>237</v>
      </c>
      <c r="B197" s="1">
        <v>45039</v>
      </c>
      <c r="C197" t="s">
        <v>39</v>
      </c>
      <c r="D197" t="s">
        <v>15</v>
      </c>
      <c r="E197" t="s">
        <v>16</v>
      </c>
      <c r="F197" t="s">
        <v>17</v>
      </c>
      <c r="G197">
        <v>6</v>
      </c>
      <c r="H197">
        <v>13868</v>
      </c>
      <c r="I197">
        <v>0</v>
      </c>
      <c r="J197" t="s">
        <v>36</v>
      </c>
      <c r="K197" t="s">
        <v>30</v>
      </c>
      <c r="L197" t="s">
        <v>20</v>
      </c>
      <c r="M197" t="s">
        <v>24</v>
      </c>
      <c r="N197">
        <v>83208</v>
      </c>
    </row>
    <row r="198" spans="1:14" x14ac:dyDescent="0.3">
      <c r="A198" t="s">
        <v>238</v>
      </c>
      <c r="B198" s="1">
        <v>45244</v>
      </c>
      <c r="C198" t="s">
        <v>14</v>
      </c>
      <c r="D198" t="s">
        <v>40</v>
      </c>
      <c r="E198" t="s">
        <v>16</v>
      </c>
      <c r="F198" t="s">
        <v>17</v>
      </c>
      <c r="G198">
        <v>3</v>
      </c>
      <c r="H198">
        <v>16160</v>
      </c>
      <c r="I198">
        <v>7272</v>
      </c>
      <c r="J198" t="s">
        <v>29</v>
      </c>
      <c r="K198" t="s">
        <v>30</v>
      </c>
      <c r="L198" t="s">
        <v>20</v>
      </c>
      <c r="M198" t="s">
        <v>33</v>
      </c>
      <c r="N198">
        <v>41208</v>
      </c>
    </row>
    <row r="199" spans="1:14" x14ac:dyDescent="0.3">
      <c r="A199" t="s">
        <v>239</v>
      </c>
      <c r="B199" s="1">
        <v>44978</v>
      </c>
      <c r="C199" t="s">
        <v>32</v>
      </c>
      <c r="D199" t="s">
        <v>43</v>
      </c>
      <c r="E199" t="s">
        <v>16</v>
      </c>
      <c r="F199" t="s">
        <v>35</v>
      </c>
      <c r="G199">
        <v>8</v>
      </c>
      <c r="H199">
        <v>11557</v>
      </c>
      <c r="I199">
        <v>9245.6</v>
      </c>
      <c r="J199" t="s">
        <v>50</v>
      </c>
      <c r="K199" t="s">
        <v>30</v>
      </c>
      <c r="L199" t="s">
        <v>37</v>
      </c>
      <c r="M199" t="s">
        <v>21</v>
      </c>
      <c r="N199">
        <v>83210.399999999994</v>
      </c>
    </row>
    <row r="200" spans="1:14" x14ac:dyDescent="0.3">
      <c r="A200" t="s">
        <v>240</v>
      </c>
      <c r="B200" s="1">
        <v>45194</v>
      </c>
      <c r="C200" t="s">
        <v>26</v>
      </c>
      <c r="D200" t="s">
        <v>40</v>
      </c>
      <c r="E200" t="s">
        <v>16</v>
      </c>
      <c r="F200" t="s">
        <v>28</v>
      </c>
      <c r="G200">
        <v>6</v>
      </c>
      <c r="H200">
        <v>37403</v>
      </c>
      <c r="I200">
        <v>44883.600000000006</v>
      </c>
      <c r="J200" t="s">
        <v>18</v>
      </c>
      <c r="K200" t="s">
        <v>41</v>
      </c>
      <c r="L200" t="s">
        <v>37</v>
      </c>
      <c r="M200" t="s">
        <v>24</v>
      </c>
      <c r="N200">
        <v>179534.4</v>
      </c>
    </row>
    <row r="201" spans="1:14" x14ac:dyDescent="0.3">
      <c r="A201" t="s">
        <v>241</v>
      </c>
      <c r="B201" s="1">
        <v>45221</v>
      </c>
      <c r="C201" t="s">
        <v>14</v>
      </c>
      <c r="D201" t="s">
        <v>43</v>
      </c>
      <c r="E201" t="s">
        <v>16</v>
      </c>
      <c r="F201" t="s">
        <v>49</v>
      </c>
      <c r="G201">
        <v>1</v>
      </c>
      <c r="H201">
        <v>16004</v>
      </c>
      <c r="I201">
        <v>800.2</v>
      </c>
      <c r="J201" t="s">
        <v>50</v>
      </c>
      <c r="K201" t="s">
        <v>30</v>
      </c>
      <c r="L201" t="s">
        <v>20</v>
      </c>
      <c r="M201" t="s">
        <v>21</v>
      </c>
      <c r="N201">
        <v>15203.8</v>
      </c>
    </row>
    <row r="202" spans="1:14" x14ac:dyDescent="0.3">
      <c r="A202" t="s">
        <v>242</v>
      </c>
      <c r="B202" s="1">
        <v>45039</v>
      </c>
      <c r="C202" t="s">
        <v>32</v>
      </c>
      <c r="D202" t="s">
        <v>43</v>
      </c>
      <c r="E202" t="s">
        <v>16</v>
      </c>
      <c r="F202" t="s">
        <v>49</v>
      </c>
      <c r="G202">
        <v>5</v>
      </c>
      <c r="H202">
        <v>14826</v>
      </c>
      <c r="I202">
        <v>3706.5</v>
      </c>
      <c r="J202" t="s">
        <v>36</v>
      </c>
      <c r="K202" t="s">
        <v>41</v>
      </c>
      <c r="L202" t="s">
        <v>37</v>
      </c>
      <c r="M202" t="s">
        <v>24</v>
      </c>
      <c r="N202">
        <v>70423.5</v>
      </c>
    </row>
    <row r="203" spans="1:14" x14ac:dyDescent="0.3">
      <c r="A203" t="s">
        <v>243</v>
      </c>
      <c r="B203" s="1">
        <v>45027</v>
      </c>
      <c r="C203" t="s">
        <v>32</v>
      </c>
      <c r="D203" t="s">
        <v>43</v>
      </c>
      <c r="E203" t="s">
        <v>16</v>
      </c>
      <c r="F203" t="s">
        <v>49</v>
      </c>
      <c r="G203">
        <v>8</v>
      </c>
      <c r="H203">
        <v>28332</v>
      </c>
      <c r="I203">
        <v>0</v>
      </c>
      <c r="J203" t="s">
        <v>29</v>
      </c>
      <c r="K203" t="s">
        <v>41</v>
      </c>
      <c r="L203" t="s">
        <v>23</v>
      </c>
      <c r="M203" t="s">
        <v>33</v>
      </c>
      <c r="N203">
        <v>226656</v>
      </c>
    </row>
    <row r="204" spans="1:14" x14ac:dyDescent="0.3">
      <c r="A204" t="s">
        <v>244</v>
      </c>
      <c r="B204" s="1">
        <v>45039</v>
      </c>
      <c r="C204" t="s">
        <v>46</v>
      </c>
      <c r="D204" t="s">
        <v>15</v>
      </c>
      <c r="E204" t="s">
        <v>27</v>
      </c>
      <c r="F204" t="s">
        <v>35</v>
      </c>
      <c r="G204">
        <v>3</v>
      </c>
      <c r="H204">
        <v>8151</v>
      </c>
      <c r="I204">
        <v>2445.3000000000002</v>
      </c>
      <c r="J204" t="s">
        <v>36</v>
      </c>
      <c r="K204" t="s">
        <v>41</v>
      </c>
      <c r="L204" t="s">
        <v>37</v>
      </c>
      <c r="M204" t="s">
        <v>24</v>
      </c>
      <c r="N204">
        <v>22007.7</v>
      </c>
    </row>
    <row r="205" spans="1:14" x14ac:dyDescent="0.3">
      <c r="A205" t="s">
        <v>245</v>
      </c>
      <c r="B205" s="1">
        <v>45007</v>
      </c>
      <c r="C205" t="s">
        <v>26</v>
      </c>
      <c r="D205" t="s">
        <v>15</v>
      </c>
      <c r="E205" t="s">
        <v>27</v>
      </c>
      <c r="F205" t="s">
        <v>17</v>
      </c>
      <c r="G205">
        <v>6</v>
      </c>
      <c r="H205">
        <v>6649</v>
      </c>
      <c r="I205">
        <v>5984.0999999999995</v>
      </c>
      <c r="J205" t="s">
        <v>50</v>
      </c>
      <c r="K205" t="s">
        <v>30</v>
      </c>
      <c r="L205" t="s">
        <v>37</v>
      </c>
      <c r="M205" t="s">
        <v>21</v>
      </c>
      <c r="N205">
        <v>33909.9</v>
      </c>
    </row>
    <row r="206" spans="1:14" x14ac:dyDescent="0.3">
      <c r="A206" t="s">
        <v>246</v>
      </c>
      <c r="B206" s="1">
        <v>45113</v>
      </c>
      <c r="C206" t="s">
        <v>32</v>
      </c>
      <c r="D206" t="s">
        <v>15</v>
      </c>
      <c r="E206" t="s">
        <v>27</v>
      </c>
      <c r="F206" t="s">
        <v>28</v>
      </c>
      <c r="G206">
        <v>5</v>
      </c>
      <c r="H206">
        <v>19265</v>
      </c>
      <c r="I206">
        <v>4816.25</v>
      </c>
      <c r="J206" t="s">
        <v>36</v>
      </c>
      <c r="K206" t="s">
        <v>30</v>
      </c>
      <c r="L206" t="s">
        <v>20</v>
      </c>
      <c r="M206" t="s">
        <v>24</v>
      </c>
      <c r="N206">
        <v>91508.75</v>
      </c>
    </row>
    <row r="207" spans="1:14" x14ac:dyDescent="0.3">
      <c r="A207" t="s">
        <v>247</v>
      </c>
      <c r="B207" s="1">
        <v>45039</v>
      </c>
      <c r="C207" t="s">
        <v>14</v>
      </c>
      <c r="D207" t="s">
        <v>40</v>
      </c>
      <c r="E207" t="s">
        <v>27</v>
      </c>
      <c r="F207" t="s">
        <v>47</v>
      </c>
      <c r="G207">
        <v>6</v>
      </c>
      <c r="H207">
        <v>36167</v>
      </c>
      <c r="I207">
        <v>0</v>
      </c>
      <c r="J207" t="s">
        <v>36</v>
      </c>
      <c r="K207" t="s">
        <v>30</v>
      </c>
      <c r="L207" t="s">
        <v>37</v>
      </c>
      <c r="M207" t="s">
        <v>21</v>
      </c>
      <c r="N207">
        <v>217002</v>
      </c>
    </row>
    <row r="208" spans="1:14" x14ac:dyDescent="0.3">
      <c r="A208" t="s">
        <v>248</v>
      </c>
      <c r="B208" s="1">
        <v>44928</v>
      </c>
      <c r="C208" t="s">
        <v>46</v>
      </c>
      <c r="D208" t="s">
        <v>40</v>
      </c>
      <c r="E208" t="s">
        <v>16</v>
      </c>
      <c r="F208" t="s">
        <v>17</v>
      </c>
      <c r="G208">
        <v>1</v>
      </c>
      <c r="H208">
        <v>39736</v>
      </c>
      <c r="I208">
        <v>3973.6000000000004</v>
      </c>
      <c r="J208" t="s">
        <v>29</v>
      </c>
      <c r="K208" t="s">
        <v>19</v>
      </c>
      <c r="L208" t="s">
        <v>37</v>
      </c>
      <c r="M208" t="s">
        <v>33</v>
      </c>
      <c r="N208">
        <v>35762.400000000001</v>
      </c>
    </row>
    <row r="209" spans="1:14" x14ac:dyDescent="0.3">
      <c r="A209" t="s">
        <v>249</v>
      </c>
      <c r="B209" s="1">
        <v>45056</v>
      </c>
      <c r="C209" t="s">
        <v>26</v>
      </c>
      <c r="D209" t="s">
        <v>15</v>
      </c>
      <c r="E209" t="s">
        <v>27</v>
      </c>
      <c r="F209" t="s">
        <v>35</v>
      </c>
      <c r="G209">
        <v>7</v>
      </c>
      <c r="H209">
        <v>9330</v>
      </c>
      <c r="I209">
        <v>6531</v>
      </c>
      <c r="J209" t="s">
        <v>18</v>
      </c>
      <c r="K209" t="s">
        <v>41</v>
      </c>
      <c r="L209" t="s">
        <v>37</v>
      </c>
      <c r="M209" t="s">
        <v>24</v>
      </c>
      <c r="N209">
        <v>58779</v>
      </c>
    </row>
    <row r="210" spans="1:14" x14ac:dyDescent="0.3">
      <c r="A210" t="s">
        <v>250</v>
      </c>
      <c r="B210" s="1">
        <v>45146</v>
      </c>
      <c r="C210" t="s">
        <v>39</v>
      </c>
      <c r="D210" t="s">
        <v>40</v>
      </c>
      <c r="E210" t="s">
        <v>16</v>
      </c>
      <c r="F210" t="s">
        <v>17</v>
      </c>
      <c r="G210">
        <v>9</v>
      </c>
      <c r="H210">
        <v>24024</v>
      </c>
      <c r="I210">
        <v>0</v>
      </c>
      <c r="J210" t="s">
        <v>50</v>
      </c>
      <c r="K210" t="s">
        <v>19</v>
      </c>
      <c r="L210" t="s">
        <v>23</v>
      </c>
      <c r="M210" t="s">
        <v>21</v>
      </c>
      <c r="N210">
        <v>216216</v>
      </c>
    </row>
    <row r="211" spans="1:14" x14ac:dyDescent="0.3">
      <c r="A211" t="s">
        <v>251</v>
      </c>
      <c r="B211" s="1">
        <v>44980</v>
      </c>
      <c r="C211" t="s">
        <v>14</v>
      </c>
      <c r="D211" t="s">
        <v>43</v>
      </c>
      <c r="E211" t="s">
        <v>27</v>
      </c>
      <c r="F211" t="s">
        <v>17</v>
      </c>
      <c r="G211">
        <v>2</v>
      </c>
      <c r="H211">
        <v>41601</v>
      </c>
      <c r="I211">
        <v>0</v>
      </c>
      <c r="J211" t="s">
        <v>29</v>
      </c>
      <c r="K211" t="s">
        <v>41</v>
      </c>
      <c r="L211" t="s">
        <v>37</v>
      </c>
      <c r="M211" t="s">
        <v>21</v>
      </c>
      <c r="N211">
        <v>83202</v>
      </c>
    </row>
    <row r="212" spans="1:14" x14ac:dyDescent="0.3">
      <c r="A212" t="s">
        <v>252</v>
      </c>
      <c r="B212" s="1">
        <v>45269</v>
      </c>
      <c r="C212" t="s">
        <v>32</v>
      </c>
      <c r="D212" t="s">
        <v>43</v>
      </c>
      <c r="E212" t="s">
        <v>44</v>
      </c>
      <c r="F212" t="s">
        <v>35</v>
      </c>
      <c r="G212">
        <v>5</v>
      </c>
      <c r="H212">
        <v>37193</v>
      </c>
      <c r="I212">
        <v>27894.75</v>
      </c>
      <c r="J212" t="s">
        <v>18</v>
      </c>
      <c r="K212" t="s">
        <v>30</v>
      </c>
      <c r="L212" t="s">
        <v>23</v>
      </c>
      <c r="M212" t="s">
        <v>21</v>
      </c>
      <c r="N212">
        <v>158070.25</v>
      </c>
    </row>
    <row r="213" spans="1:14" x14ac:dyDescent="0.3">
      <c r="A213" t="s">
        <v>253</v>
      </c>
      <c r="B213" s="1">
        <v>45150</v>
      </c>
      <c r="C213" t="s">
        <v>32</v>
      </c>
      <c r="D213" t="s">
        <v>43</v>
      </c>
      <c r="E213" t="s">
        <v>27</v>
      </c>
      <c r="F213" t="s">
        <v>49</v>
      </c>
      <c r="G213">
        <v>4</v>
      </c>
      <c r="H213">
        <v>32075</v>
      </c>
      <c r="I213">
        <v>0</v>
      </c>
      <c r="J213" t="s">
        <v>36</v>
      </c>
      <c r="K213" t="s">
        <v>41</v>
      </c>
      <c r="L213" t="s">
        <v>23</v>
      </c>
      <c r="M213" t="s">
        <v>24</v>
      </c>
      <c r="N213">
        <v>128300</v>
      </c>
    </row>
    <row r="214" spans="1:14" x14ac:dyDescent="0.3">
      <c r="A214" t="s">
        <v>254</v>
      </c>
      <c r="B214" s="1">
        <v>45151</v>
      </c>
      <c r="C214" t="s">
        <v>14</v>
      </c>
      <c r="D214" t="s">
        <v>15</v>
      </c>
      <c r="E214" t="s">
        <v>27</v>
      </c>
      <c r="F214" t="s">
        <v>49</v>
      </c>
      <c r="G214">
        <v>6</v>
      </c>
      <c r="H214">
        <v>49948</v>
      </c>
      <c r="I214">
        <v>44953.2</v>
      </c>
      <c r="J214" t="s">
        <v>18</v>
      </c>
      <c r="K214" t="s">
        <v>41</v>
      </c>
      <c r="L214" t="s">
        <v>23</v>
      </c>
      <c r="M214" t="s">
        <v>24</v>
      </c>
      <c r="N214">
        <v>254734.8</v>
      </c>
    </row>
    <row r="215" spans="1:14" x14ac:dyDescent="0.3">
      <c r="A215" t="s">
        <v>255</v>
      </c>
      <c r="B215" s="1">
        <v>45052</v>
      </c>
      <c r="C215" t="s">
        <v>32</v>
      </c>
      <c r="D215" t="s">
        <v>40</v>
      </c>
      <c r="E215" t="s">
        <v>16</v>
      </c>
      <c r="F215" t="s">
        <v>28</v>
      </c>
      <c r="G215">
        <v>6</v>
      </c>
      <c r="H215">
        <v>6254</v>
      </c>
      <c r="I215">
        <v>5628.5999999999995</v>
      </c>
      <c r="J215" t="s">
        <v>36</v>
      </c>
      <c r="K215" t="s">
        <v>19</v>
      </c>
      <c r="L215" t="s">
        <v>23</v>
      </c>
      <c r="M215" t="s">
        <v>24</v>
      </c>
      <c r="N215">
        <v>31895.3999999999</v>
      </c>
    </row>
    <row r="216" spans="1:14" x14ac:dyDescent="0.3">
      <c r="A216" t="s">
        <v>256</v>
      </c>
      <c r="B216" s="1">
        <v>45056</v>
      </c>
      <c r="C216" t="s">
        <v>46</v>
      </c>
      <c r="D216" t="s">
        <v>15</v>
      </c>
      <c r="E216" t="s">
        <v>27</v>
      </c>
      <c r="F216" t="s">
        <v>28</v>
      </c>
      <c r="G216">
        <v>2</v>
      </c>
      <c r="H216">
        <v>34473</v>
      </c>
      <c r="I216">
        <v>13789.2</v>
      </c>
      <c r="J216" t="s">
        <v>36</v>
      </c>
      <c r="K216" t="s">
        <v>41</v>
      </c>
      <c r="L216" t="s">
        <v>20</v>
      </c>
      <c r="M216" t="s">
        <v>33</v>
      </c>
      <c r="N216">
        <v>55156.800000000003</v>
      </c>
    </row>
    <row r="217" spans="1:14" x14ac:dyDescent="0.3">
      <c r="A217" t="s">
        <v>257</v>
      </c>
      <c r="B217" s="1">
        <v>44979</v>
      </c>
      <c r="C217" t="s">
        <v>26</v>
      </c>
      <c r="D217" t="s">
        <v>40</v>
      </c>
      <c r="E217" t="s">
        <v>44</v>
      </c>
      <c r="F217" t="s">
        <v>49</v>
      </c>
      <c r="G217">
        <v>2</v>
      </c>
      <c r="H217">
        <v>42021</v>
      </c>
      <c r="I217">
        <v>8404.2000000000007</v>
      </c>
      <c r="J217" t="s">
        <v>29</v>
      </c>
      <c r="K217" t="s">
        <v>30</v>
      </c>
      <c r="L217" t="s">
        <v>23</v>
      </c>
      <c r="M217" t="s">
        <v>21</v>
      </c>
      <c r="N217">
        <v>75637.8</v>
      </c>
    </row>
    <row r="218" spans="1:14" x14ac:dyDescent="0.3">
      <c r="A218" t="s">
        <v>258</v>
      </c>
      <c r="B218" s="1">
        <v>45098</v>
      </c>
      <c r="C218" t="s">
        <v>46</v>
      </c>
      <c r="D218" t="s">
        <v>43</v>
      </c>
      <c r="E218" t="s">
        <v>16</v>
      </c>
      <c r="F218" t="s">
        <v>47</v>
      </c>
      <c r="G218">
        <v>4</v>
      </c>
      <c r="H218">
        <v>48717</v>
      </c>
      <c r="I218">
        <v>19486.8</v>
      </c>
      <c r="J218" t="s">
        <v>36</v>
      </c>
      <c r="K218" t="s">
        <v>41</v>
      </c>
      <c r="L218" t="s">
        <v>37</v>
      </c>
      <c r="M218" t="s">
        <v>21</v>
      </c>
      <c r="N218">
        <v>175381.2</v>
      </c>
    </row>
    <row r="219" spans="1:14" x14ac:dyDescent="0.3">
      <c r="A219" t="s">
        <v>259</v>
      </c>
      <c r="B219" s="1">
        <v>45144</v>
      </c>
      <c r="C219" t="s">
        <v>32</v>
      </c>
      <c r="D219" t="s">
        <v>15</v>
      </c>
      <c r="E219" t="s">
        <v>16</v>
      </c>
      <c r="F219" t="s">
        <v>17</v>
      </c>
      <c r="G219">
        <v>1</v>
      </c>
      <c r="H219">
        <v>11032</v>
      </c>
      <c r="I219">
        <v>1103.2</v>
      </c>
      <c r="J219" t="s">
        <v>29</v>
      </c>
      <c r="K219" t="s">
        <v>41</v>
      </c>
      <c r="L219" t="s">
        <v>23</v>
      </c>
      <c r="M219" t="s">
        <v>33</v>
      </c>
      <c r="N219">
        <v>9928.7999999999993</v>
      </c>
    </row>
    <row r="220" spans="1:14" x14ac:dyDescent="0.3">
      <c r="A220" t="s">
        <v>260</v>
      </c>
      <c r="B220" s="1">
        <v>45086</v>
      </c>
      <c r="C220" t="s">
        <v>39</v>
      </c>
      <c r="D220" t="s">
        <v>40</v>
      </c>
      <c r="E220" t="s">
        <v>27</v>
      </c>
      <c r="F220" t="s">
        <v>47</v>
      </c>
      <c r="G220">
        <v>9</v>
      </c>
      <c r="H220">
        <v>29870</v>
      </c>
      <c r="I220">
        <v>53766</v>
      </c>
      <c r="J220" t="s">
        <v>18</v>
      </c>
      <c r="K220" t="s">
        <v>41</v>
      </c>
      <c r="L220" t="s">
        <v>37</v>
      </c>
      <c r="M220" t="s">
        <v>33</v>
      </c>
      <c r="N220">
        <v>215064</v>
      </c>
    </row>
    <row r="221" spans="1:14" x14ac:dyDescent="0.3">
      <c r="A221" t="s">
        <v>261</v>
      </c>
      <c r="B221" s="1">
        <v>45124</v>
      </c>
      <c r="C221" t="s">
        <v>26</v>
      </c>
      <c r="D221" t="s">
        <v>40</v>
      </c>
      <c r="E221" t="s">
        <v>16</v>
      </c>
      <c r="F221" t="s">
        <v>17</v>
      </c>
      <c r="G221">
        <v>7</v>
      </c>
      <c r="H221">
        <v>49312</v>
      </c>
      <c r="I221">
        <v>51777.599999999999</v>
      </c>
      <c r="J221" t="s">
        <v>18</v>
      </c>
      <c r="K221" t="s">
        <v>19</v>
      </c>
      <c r="L221" t="s">
        <v>23</v>
      </c>
      <c r="M221" t="s">
        <v>24</v>
      </c>
      <c r="N221">
        <v>293406.39999999898</v>
      </c>
    </row>
    <row r="222" spans="1:14" x14ac:dyDescent="0.3">
      <c r="A222" t="s">
        <v>262</v>
      </c>
      <c r="B222" s="1">
        <v>45173</v>
      </c>
      <c r="C222" t="s">
        <v>26</v>
      </c>
      <c r="D222" t="s">
        <v>43</v>
      </c>
      <c r="E222" t="s">
        <v>16</v>
      </c>
      <c r="F222" t="s">
        <v>49</v>
      </c>
      <c r="G222">
        <v>7</v>
      </c>
      <c r="H222">
        <v>23052</v>
      </c>
      <c r="I222">
        <v>24204.6</v>
      </c>
      <c r="J222" t="s">
        <v>36</v>
      </c>
      <c r="K222" t="s">
        <v>41</v>
      </c>
      <c r="L222" t="s">
        <v>20</v>
      </c>
      <c r="M222" t="s">
        <v>24</v>
      </c>
      <c r="N222">
        <v>137159.4</v>
      </c>
    </row>
    <row r="223" spans="1:14" x14ac:dyDescent="0.3">
      <c r="A223" t="s">
        <v>263</v>
      </c>
      <c r="B223" s="1">
        <v>45250</v>
      </c>
      <c r="C223" t="s">
        <v>14</v>
      </c>
      <c r="D223" t="s">
        <v>15</v>
      </c>
      <c r="E223" t="s">
        <v>16</v>
      </c>
      <c r="F223" t="s">
        <v>28</v>
      </c>
      <c r="G223">
        <v>3</v>
      </c>
      <c r="H223">
        <v>23820</v>
      </c>
      <c r="I223">
        <v>0</v>
      </c>
      <c r="J223" t="s">
        <v>29</v>
      </c>
      <c r="K223" t="s">
        <v>41</v>
      </c>
      <c r="L223" t="s">
        <v>23</v>
      </c>
      <c r="M223" t="s">
        <v>24</v>
      </c>
      <c r="N223">
        <v>71460</v>
      </c>
    </row>
    <row r="224" spans="1:14" x14ac:dyDescent="0.3">
      <c r="A224" t="s">
        <v>264</v>
      </c>
      <c r="B224" s="1">
        <v>45129</v>
      </c>
      <c r="C224" t="s">
        <v>14</v>
      </c>
      <c r="D224" t="s">
        <v>15</v>
      </c>
      <c r="E224" t="s">
        <v>16</v>
      </c>
      <c r="F224" t="s">
        <v>28</v>
      </c>
      <c r="G224">
        <v>3</v>
      </c>
      <c r="H224">
        <v>28507</v>
      </c>
      <c r="I224">
        <v>17104.2</v>
      </c>
      <c r="J224" t="s">
        <v>36</v>
      </c>
      <c r="K224" t="s">
        <v>19</v>
      </c>
      <c r="L224" t="s">
        <v>23</v>
      </c>
      <c r="M224" t="s">
        <v>24</v>
      </c>
      <c r="N224">
        <v>68416.800000000003</v>
      </c>
    </row>
    <row r="225" spans="1:14" x14ac:dyDescent="0.3">
      <c r="A225" t="s">
        <v>265</v>
      </c>
      <c r="B225" s="1">
        <v>45110</v>
      </c>
      <c r="C225" t="s">
        <v>39</v>
      </c>
      <c r="D225" t="s">
        <v>15</v>
      </c>
      <c r="E225" t="s">
        <v>16</v>
      </c>
      <c r="F225" t="s">
        <v>47</v>
      </c>
      <c r="G225">
        <v>1</v>
      </c>
      <c r="H225">
        <v>47751</v>
      </c>
      <c r="I225">
        <v>0</v>
      </c>
      <c r="J225" t="s">
        <v>29</v>
      </c>
      <c r="K225" t="s">
        <v>19</v>
      </c>
      <c r="L225" t="s">
        <v>20</v>
      </c>
      <c r="M225" t="s">
        <v>24</v>
      </c>
      <c r="N225">
        <v>47751</v>
      </c>
    </row>
    <row r="226" spans="1:14" x14ac:dyDescent="0.3">
      <c r="A226" t="s">
        <v>266</v>
      </c>
      <c r="B226" s="1">
        <v>45049</v>
      </c>
      <c r="C226" t="s">
        <v>26</v>
      </c>
      <c r="D226" t="s">
        <v>43</v>
      </c>
      <c r="E226" t="s">
        <v>16</v>
      </c>
      <c r="F226" t="s">
        <v>28</v>
      </c>
      <c r="G226">
        <v>3</v>
      </c>
      <c r="H226">
        <v>1751</v>
      </c>
      <c r="I226">
        <v>1050.6000000000001</v>
      </c>
      <c r="J226" t="s">
        <v>29</v>
      </c>
      <c r="K226" t="s">
        <v>19</v>
      </c>
      <c r="L226" t="s">
        <v>23</v>
      </c>
      <c r="M226" t="s">
        <v>24</v>
      </c>
      <c r="N226">
        <v>4202.3999999999996</v>
      </c>
    </row>
    <row r="227" spans="1:14" x14ac:dyDescent="0.3">
      <c r="A227" t="s">
        <v>267</v>
      </c>
      <c r="B227" s="1">
        <v>45181</v>
      </c>
      <c r="C227" t="s">
        <v>39</v>
      </c>
      <c r="D227" t="s">
        <v>15</v>
      </c>
      <c r="E227" t="s">
        <v>44</v>
      </c>
      <c r="F227" t="s">
        <v>49</v>
      </c>
      <c r="G227">
        <v>3</v>
      </c>
      <c r="H227">
        <v>48122</v>
      </c>
      <c r="I227">
        <v>0</v>
      </c>
      <c r="J227" t="s">
        <v>29</v>
      </c>
      <c r="K227" t="s">
        <v>19</v>
      </c>
      <c r="L227" t="s">
        <v>37</v>
      </c>
      <c r="M227" t="s">
        <v>33</v>
      </c>
      <c r="N227">
        <v>144366</v>
      </c>
    </row>
    <row r="228" spans="1:14" x14ac:dyDescent="0.3">
      <c r="A228" t="s">
        <v>268</v>
      </c>
      <c r="B228" s="1">
        <v>45220</v>
      </c>
      <c r="C228" t="s">
        <v>14</v>
      </c>
      <c r="D228" t="s">
        <v>43</v>
      </c>
      <c r="E228" t="s">
        <v>27</v>
      </c>
      <c r="F228" t="s">
        <v>47</v>
      </c>
      <c r="G228">
        <v>4</v>
      </c>
      <c r="H228">
        <v>28012</v>
      </c>
      <c r="I228">
        <v>5602.4000000000005</v>
      </c>
      <c r="J228" t="s">
        <v>18</v>
      </c>
      <c r="K228" t="s">
        <v>30</v>
      </c>
      <c r="L228" t="s">
        <v>23</v>
      </c>
      <c r="M228" t="s">
        <v>33</v>
      </c>
      <c r="N228">
        <v>106445.599999999</v>
      </c>
    </row>
    <row r="229" spans="1:14" x14ac:dyDescent="0.3">
      <c r="A229" t="s">
        <v>269</v>
      </c>
      <c r="B229" s="1">
        <v>45206</v>
      </c>
      <c r="C229" t="s">
        <v>14</v>
      </c>
      <c r="D229" t="s">
        <v>43</v>
      </c>
      <c r="E229" t="s">
        <v>44</v>
      </c>
      <c r="F229" t="s">
        <v>17</v>
      </c>
      <c r="G229">
        <v>4</v>
      </c>
      <c r="H229">
        <v>13999</v>
      </c>
      <c r="I229">
        <v>5599.6</v>
      </c>
      <c r="J229" t="s">
        <v>29</v>
      </c>
      <c r="K229" t="s">
        <v>30</v>
      </c>
      <c r="L229" t="s">
        <v>23</v>
      </c>
      <c r="M229" t="s">
        <v>33</v>
      </c>
      <c r="N229">
        <v>50396.4</v>
      </c>
    </row>
    <row r="230" spans="1:14" x14ac:dyDescent="0.3">
      <c r="A230" t="s">
        <v>270</v>
      </c>
      <c r="B230" s="1">
        <v>45251</v>
      </c>
      <c r="C230" t="s">
        <v>26</v>
      </c>
      <c r="D230" t="s">
        <v>43</v>
      </c>
      <c r="E230" t="s">
        <v>16</v>
      </c>
      <c r="F230" t="s">
        <v>28</v>
      </c>
      <c r="G230">
        <v>3</v>
      </c>
      <c r="H230">
        <v>26512</v>
      </c>
      <c r="I230">
        <v>7953.6</v>
      </c>
      <c r="J230" t="s">
        <v>18</v>
      </c>
      <c r="K230" t="s">
        <v>41</v>
      </c>
      <c r="L230" t="s">
        <v>23</v>
      </c>
      <c r="M230" t="s">
        <v>21</v>
      </c>
      <c r="N230">
        <v>71582.399999999994</v>
      </c>
    </row>
    <row r="231" spans="1:14" x14ac:dyDescent="0.3">
      <c r="A231" t="s">
        <v>271</v>
      </c>
      <c r="B231" s="1">
        <v>45024</v>
      </c>
      <c r="C231" t="s">
        <v>46</v>
      </c>
      <c r="D231" t="s">
        <v>40</v>
      </c>
      <c r="E231" t="s">
        <v>16</v>
      </c>
      <c r="F231" t="s">
        <v>35</v>
      </c>
      <c r="G231">
        <v>8</v>
      </c>
      <c r="H231">
        <v>39820</v>
      </c>
      <c r="I231">
        <v>47784</v>
      </c>
      <c r="J231" t="s">
        <v>29</v>
      </c>
      <c r="K231" t="s">
        <v>30</v>
      </c>
      <c r="L231" t="s">
        <v>20</v>
      </c>
      <c r="M231" t="s">
        <v>21</v>
      </c>
      <c r="N231">
        <v>270776</v>
      </c>
    </row>
    <row r="232" spans="1:14" x14ac:dyDescent="0.3">
      <c r="A232" t="s">
        <v>272</v>
      </c>
      <c r="B232" s="1">
        <v>45124</v>
      </c>
      <c r="C232" t="s">
        <v>32</v>
      </c>
      <c r="D232" t="s">
        <v>15</v>
      </c>
      <c r="E232" t="s">
        <v>27</v>
      </c>
      <c r="F232" t="s">
        <v>28</v>
      </c>
      <c r="G232">
        <v>8</v>
      </c>
      <c r="H232">
        <v>1649</v>
      </c>
      <c r="I232">
        <v>659.6</v>
      </c>
      <c r="J232" t="s">
        <v>18</v>
      </c>
      <c r="K232" t="s">
        <v>41</v>
      </c>
      <c r="L232" t="s">
        <v>23</v>
      </c>
      <c r="M232" t="s">
        <v>24</v>
      </c>
      <c r="N232">
        <v>12532.4</v>
      </c>
    </row>
    <row r="233" spans="1:14" x14ac:dyDescent="0.3">
      <c r="A233" t="s">
        <v>273</v>
      </c>
      <c r="B233" s="1">
        <v>45166</v>
      </c>
      <c r="C233" t="s">
        <v>14</v>
      </c>
      <c r="D233" t="s">
        <v>15</v>
      </c>
      <c r="E233" t="s">
        <v>44</v>
      </c>
      <c r="F233" t="s">
        <v>17</v>
      </c>
      <c r="G233">
        <v>1</v>
      </c>
      <c r="H233">
        <v>24626</v>
      </c>
      <c r="I233">
        <v>2462.6000000000004</v>
      </c>
      <c r="J233" t="s">
        <v>50</v>
      </c>
      <c r="K233" t="s">
        <v>30</v>
      </c>
      <c r="L233" t="s">
        <v>23</v>
      </c>
      <c r="M233" t="s">
        <v>33</v>
      </c>
      <c r="N233">
        <v>22163.4</v>
      </c>
    </row>
    <row r="234" spans="1:14" x14ac:dyDescent="0.3">
      <c r="A234" t="s">
        <v>274</v>
      </c>
      <c r="B234" s="1">
        <v>45070</v>
      </c>
      <c r="C234" t="s">
        <v>14</v>
      </c>
      <c r="D234" t="s">
        <v>43</v>
      </c>
      <c r="E234" t="s">
        <v>27</v>
      </c>
      <c r="F234" t="s">
        <v>47</v>
      </c>
      <c r="G234">
        <v>7</v>
      </c>
      <c r="H234">
        <v>35627</v>
      </c>
      <c r="I234">
        <v>37408.35</v>
      </c>
      <c r="J234" t="s">
        <v>18</v>
      </c>
      <c r="K234" t="s">
        <v>19</v>
      </c>
      <c r="L234" t="s">
        <v>37</v>
      </c>
      <c r="M234" t="s">
        <v>21</v>
      </c>
      <c r="N234">
        <v>211980.65</v>
      </c>
    </row>
    <row r="235" spans="1:14" x14ac:dyDescent="0.3">
      <c r="A235" t="s">
        <v>275</v>
      </c>
      <c r="B235" s="1">
        <v>45023</v>
      </c>
      <c r="C235" t="s">
        <v>46</v>
      </c>
      <c r="D235" t="s">
        <v>43</v>
      </c>
      <c r="E235" t="s">
        <v>44</v>
      </c>
      <c r="F235" t="s">
        <v>17</v>
      </c>
      <c r="G235">
        <v>2</v>
      </c>
      <c r="H235">
        <v>40477</v>
      </c>
      <c r="I235">
        <v>4047.7000000000003</v>
      </c>
      <c r="J235" t="s">
        <v>18</v>
      </c>
      <c r="K235" t="s">
        <v>19</v>
      </c>
      <c r="L235" t="s">
        <v>23</v>
      </c>
      <c r="M235" t="s">
        <v>21</v>
      </c>
      <c r="N235">
        <v>76906.3</v>
      </c>
    </row>
    <row r="236" spans="1:14" x14ac:dyDescent="0.3">
      <c r="A236" t="s">
        <v>276</v>
      </c>
      <c r="B236" s="1">
        <v>45127</v>
      </c>
      <c r="C236" t="s">
        <v>46</v>
      </c>
      <c r="D236" t="s">
        <v>15</v>
      </c>
      <c r="E236" t="s">
        <v>16</v>
      </c>
      <c r="F236" t="s">
        <v>35</v>
      </c>
      <c r="G236">
        <v>1</v>
      </c>
      <c r="H236">
        <v>31751</v>
      </c>
      <c r="I236">
        <v>3175.1000000000004</v>
      </c>
      <c r="J236" t="s">
        <v>36</v>
      </c>
      <c r="K236" t="s">
        <v>30</v>
      </c>
      <c r="L236" t="s">
        <v>23</v>
      </c>
      <c r="M236" t="s">
        <v>33</v>
      </c>
      <c r="N236">
        <v>28575.9</v>
      </c>
    </row>
    <row r="237" spans="1:14" x14ac:dyDescent="0.3">
      <c r="A237" t="s">
        <v>277</v>
      </c>
      <c r="B237" s="1">
        <v>45050</v>
      </c>
      <c r="C237" t="s">
        <v>39</v>
      </c>
      <c r="D237" t="s">
        <v>43</v>
      </c>
      <c r="E237" t="s">
        <v>27</v>
      </c>
      <c r="F237" t="s">
        <v>49</v>
      </c>
      <c r="G237">
        <v>3</v>
      </c>
      <c r="H237">
        <v>24477</v>
      </c>
      <c r="I237">
        <v>0</v>
      </c>
      <c r="J237" t="s">
        <v>29</v>
      </c>
      <c r="K237" t="s">
        <v>30</v>
      </c>
      <c r="L237" t="s">
        <v>23</v>
      </c>
      <c r="M237" t="s">
        <v>21</v>
      </c>
      <c r="N237">
        <v>73431</v>
      </c>
    </row>
    <row r="238" spans="1:14" x14ac:dyDescent="0.3">
      <c r="A238" t="s">
        <v>278</v>
      </c>
      <c r="B238" s="1">
        <v>45113</v>
      </c>
      <c r="C238" t="s">
        <v>39</v>
      </c>
      <c r="D238" t="s">
        <v>15</v>
      </c>
      <c r="E238" t="s">
        <v>27</v>
      </c>
      <c r="F238" t="s">
        <v>28</v>
      </c>
      <c r="G238">
        <v>4</v>
      </c>
      <c r="H238">
        <v>35689</v>
      </c>
      <c r="I238">
        <v>28551.200000000001</v>
      </c>
      <c r="J238" t="s">
        <v>50</v>
      </c>
      <c r="K238" t="s">
        <v>41</v>
      </c>
      <c r="L238" t="s">
        <v>23</v>
      </c>
      <c r="M238" t="s">
        <v>21</v>
      </c>
      <c r="N238">
        <v>114204.8</v>
      </c>
    </row>
    <row r="239" spans="1:14" x14ac:dyDescent="0.3">
      <c r="A239" t="s">
        <v>279</v>
      </c>
      <c r="B239" s="1">
        <v>45252</v>
      </c>
      <c r="C239" t="s">
        <v>32</v>
      </c>
      <c r="D239" t="s">
        <v>40</v>
      </c>
      <c r="E239" t="s">
        <v>16</v>
      </c>
      <c r="F239" t="s">
        <v>47</v>
      </c>
      <c r="G239">
        <v>6</v>
      </c>
      <c r="H239">
        <v>45412</v>
      </c>
      <c r="I239">
        <v>13623.6</v>
      </c>
      <c r="J239" t="s">
        <v>36</v>
      </c>
      <c r="K239" t="s">
        <v>41</v>
      </c>
      <c r="L239" t="s">
        <v>37</v>
      </c>
      <c r="M239" t="s">
        <v>33</v>
      </c>
      <c r="N239">
        <v>258848.4</v>
      </c>
    </row>
    <row r="240" spans="1:14" x14ac:dyDescent="0.3">
      <c r="A240" t="s">
        <v>280</v>
      </c>
      <c r="B240" s="1">
        <v>45275</v>
      </c>
      <c r="C240" t="s">
        <v>32</v>
      </c>
      <c r="D240" t="s">
        <v>43</v>
      </c>
      <c r="E240" t="s">
        <v>27</v>
      </c>
      <c r="F240" t="s">
        <v>49</v>
      </c>
      <c r="G240">
        <v>5</v>
      </c>
      <c r="H240">
        <v>9837</v>
      </c>
      <c r="I240">
        <v>7377.75</v>
      </c>
      <c r="J240" t="s">
        <v>29</v>
      </c>
      <c r="K240" t="s">
        <v>41</v>
      </c>
      <c r="L240" t="s">
        <v>37</v>
      </c>
      <c r="M240" t="s">
        <v>21</v>
      </c>
      <c r="N240">
        <v>41807.25</v>
      </c>
    </row>
    <row r="241" spans="1:14" x14ac:dyDescent="0.3">
      <c r="A241" t="s">
        <v>281</v>
      </c>
      <c r="B241" s="1">
        <v>45185</v>
      </c>
      <c r="C241" t="s">
        <v>26</v>
      </c>
      <c r="D241" t="s">
        <v>15</v>
      </c>
      <c r="E241" t="s">
        <v>44</v>
      </c>
      <c r="F241" t="s">
        <v>17</v>
      </c>
      <c r="G241">
        <v>4</v>
      </c>
      <c r="H241">
        <v>43458</v>
      </c>
      <c r="I241">
        <v>8691.6</v>
      </c>
      <c r="J241" t="s">
        <v>50</v>
      </c>
      <c r="K241" t="s">
        <v>19</v>
      </c>
      <c r="L241" t="s">
        <v>20</v>
      </c>
      <c r="M241" t="s">
        <v>33</v>
      </c>
      <c r="N241">
        <v>165140.4</v>
      </c>
    </row>
    <row r="242" spans="1:14" x14ac:dyDescent="0.3">
      <c r="A242" t="s">
        <v>282</v>
      </c>
      <c r="B242" s="1">
        <v>45074</v>
      </c>
      <c r="C242" t="s">
        <v>39</v>
      </c>
      <c r="D242" t="s">
        <v>43</v>
      </c>
      <c r="E242" t="s">
        <v>44</v>
      </c>
      <c r="F242" t="s">
        <v>47</v>
      </c>
      <c r="G242">
        <v>8</v>
      </c>
      <c r="H242">
        <v>35893</v>
      </c>
      <c r="I242">
        <v>43071.6</v>
      </c>
      <c r="J242" t="s">
        <v>50</v>
      </c>
      <c r="K242" t="s">
        <v>19</v>
      </c>
      <c r="L242" t="s">
        <v>23</v>
      </c>
      <c r="M242" t="s">
        <v>21</v>
      </c>
      <c r="N242">
        <v>244072.4</v>
      </c>
    </row>
    <row r="243" spans="1:14" x14ac:dyDescent="0.3">
      <c r="A243" t="s">
        <v>283</v>
      </c>
      <c r="B243" s="1">
        <v>45178</v>
      </c>
      <c r="C243" t="s">
        <v>14</v>
      </c>
      <c r="D243" t="s">
        <v>15</v>
      </c>
      <c r="E243" t="s">
        <v>44</v>
      </c>
      <c r="F243" t="s">
        <v>49</v>
      </c>
      <c r="G243">
        <v>4</v>
      </c>
      <c r="H243">
        <v>10024</v>
      </c>
      <c r="I243">
        <v>2004.8000000000002</v>
      </c>
      <c r="J243" t="s">
        <v>50</v>
      </c>
      <c r="K243" t="s">
        <v>19</v>
      </c>
      <c r="L243" t="s">
        <v>20</v>
      </c>
      <c r="M243" t="s">
        <v>33</v>
      </c>
      <c r="N243">
        <v>38091.199999999997</v>
      </c>
    </row>
    <row r="244" spans="1:14" x14ac:dyDescent="0.3">
      <c r="A244" t="s">
        <v>284</v>
      </c>
      <c r="B244" s="1">
        <v>45272</v>
      </c>
      <c r="C244" t="s">
        <v>39</v>
      </c>
      <c r="D244" t="s">
        <v>15</v>
      </c>
      <c r="E244" t="s">
        <v>44</v>
      </c>
      <c r="F244" t="s">
        <v>47</v>
      </c>
      <c r="G244">
        <v>2</v>
      </c>
      <c r="H244">
        <v>27150</v>
      </c>
      <c r="I244">
        <v>8145</v>
      </c>
      <c r="J244" t="s">
        <v>29</v>
      </c>
      <c r="K244" t="s">
        <v>19</v>
      </c>
      <c r="L244" t="s">
        <v>20</v>
      </c>
      <c r="M244" t="s">
        <v>21</v>
      </c>
      <c r="N244">
        <v>46155</v>
      </c>
    </row>
    <row r="245" spans="1:14" x14ac:dyDescent="0.3">
      <c r="A245" t="s">
        <v>285</v>
      </c>
      <c r="B245" s="1">
        <v>45073</v>
      </c>
      <c r="C245" t="s">
        <v>14</v>
      </c>
      <c r="D245" t="s">
        <v>43</v>
      </c>
      <c r="E245" t="s">
        <v>16</v>
      </c>
      <c r="F245" t="s">
        <v>35</v>
      </c>
      <c r="G245">
        <v>3</v>
      </c>
      <c r="H245">
        <v>23688</v>
      </c>
      <c r="I245">
        <v>7106.4000000000005</v>
      </c>
      <c r="J245" t="s">
        <v>50</v>
      </c>
      <c r="K245" t="s">
        <v>41</v>
      </c>
      <c r="L245" t="s">
        <v>23</v>
      </c>
      <c r="M245" t="s">
        <v>21</v>
      </c>
      <c r="N245">
        <v>63957.599999999999</v>
      </c>
    </row>
    <row r="246" spans="1:14" x14ac:dyDescent="0.3">
      <c r="A246" t="s">
        <v>286</v>
      </c>
      <c r="B246" s="1">
        <v>45074</v>
      </c>
      <c r="C246" t="s">
        <v>46</v>
      </c>
      <c r="D246" t="s">
        <v>40</v>
      </c>
      <c r="E246" t="s">
        <v>27</v>
      </c>
      <c r="F246" t="s">
        <v>35</v>
      </c>
      <c r="G246">
        <v>6</v>
      </c>
      <c r="H246">
        <v>39208</v>
      </c>
      <c r="I246">
        <v>0</v>
      </c>
      <c r="J246" t="s">
        <v>50</v>
      </c>
      <c r="K246" t="s">
        <v>19</v>
      </c>
      <c r="L246" t="s">
        <v>37</v>
      </c>
      <c r="M246" t="s">
        <v>33</v>
      </c>
      <c r="N246">
        <v>235248</v>
      </c>
    </row>
    <row r="247" spans="1:14" x14ac:dyDescent="0.3">
      <c r="A247" t="s">
        <v>287</v>
      </c>
      <c r="B247" s="1">
        <v>45278</v>
      </c>
      <c r="C247" t="s">
        <v>39</v>
      </c>
      <c r="D247" t="s">
        <v>15</v>
      </c>
      <c r="E247" t="s">
        <v>44</v>
      </c>
      <c r="F247" t="s">
        <v>28</v>
      </c>
      <c r="G247">
        <v>8</v>
      </c>
      <c r="H247">
        <v>49864</v>
      </c>
      <c r="I247">
        <v>39891.200000000004</v>
      </c>
      <c r="J247" t="s">
        <v>36</v>
      </c>
      <c r="K247" t="s">
        <v>19</v>
      </c>
      <c r="L247" t="s">
        <v>37</v>
      </c>
      <c r="M247" t="s">
        <v>21</v>
      </c>
      <c r="N247">
        <v>359020.79999999999</v>
      </c>
    </row>
    <row r="248" spans="1:14" x14ac:dyDescent="0.3">
      <c r="A248" t="s">
        <v>288</v>
      </c>
      <c r="B248" s="1">
        <v>45125</v>
      </c>
      <c r="C248" t="s">
        <v>46</v>
      </c>
      <c r="D248" t="s">
        <v>15</v>
      </c>
      <c r="E248" t="s">
        <v>16</v>
      </c>
      <c r="F248" t="s">
        <v>28</v>
      </c>
      <c r="G248">
        <v>8</v>
      </c>
      <c r="H248">
        <v>415</v>
      </c>
      <c r="I248">
        <v>0</v>
      </c>
      <c r="J248" t="s">
        <v>18</v>
      </c>
      <c r="K248" t="s">
        <v>19</v>
      </c>
      <c r="L248" t="s">
        <v>23</v>
      </c>
      <c r="M248" t="s">
        <v>33</v>
      </c>
      <c r="N248">
        <v>3320</v>
      </c>
    </row>
    <row r="249" spans="1:14" x14ac:dyDescent="0.3">
      <c r="A249" t="s">
        <v>289</v>
      </c>
      <c r="B249" s="1">
        <v>45234</v>
      </c>
      <c r="C249" t="s">
        <v>32</v>
      </c>
      <c r="D249" t="s">
        <v>15</v>
      </c>
      <c r="E249" t="s">
        <v>27</v>
      </c>
      <c r="F249" t="s">
        <v>35</v>
      </c>
      <c r="G249">
        <v>9</v>
      </c>
      <c r="H249">
        <v>40267</v>
      </c>
      <c r="I249">
        <v>36240.300000000003</v>
      </c>
      <c r="J249" t="s">
        <v>29</v>
      </c>
      <c r="K249" t="s">
        <v>19</v>
      </c>
      <c r="L249" t="s">
        <v>23</v>
      </c>
      <c r="M249" t="s">
        <v>33</v>
      </c>
      <c r="N249">
        <v>326162.7</v>
      </c>
    </row>
    <row r="250" spans="1:14" x14ac:dyDescent="0.3">
      <c r="A250" t="s">
        <v>290</v>
      </c>
      <c r="B250" s="1">
        <v>45054</v>
      </c>
      <c r="C250" t="s">
        <v>32</v>
      </c>
      <c r="D250" t="s">
        <v>40</v>
      </c>
      <c r="E250" t="s">
        <v>27</v>
      </c>
      <c r="F250" t="s">
        <v>47</v>
      </c>
      <c r="G250">
        <v>7</v>
      </c>
      <c r="H250">
        <v>11723</v>
      </c>
      <c r="I250">
        <v>8206.1</v>
      </c>
      <c r="J250" t="s">
        <v>18</v>
      </c>
      <c r="K250" t="s">
        <v>30</v>
      </c>
      <c r="L250" t="s">
        <v>37</v>
      </c>
      <c r="M250" t="s">
        <v>21</v>
      </c>
      <c r="N250">
        <v>73854.899999999994</v>
      </c>
    </row>
    <row r="251" spans="1:14" x14ac:dyDescent="0.3">
      <c r="A251" t="s">
        <v>291</v>
      </c>
      <c r="B251" s="1">
        <v>44965</v>
      </c>
      <c r="C251" t="s">
        <v>26</v>
      </c>
      <c r="D251" t="s">
        <v>40</v>
      </c>
      <c r="E251" t="s">
        <v>16</v>
      </c>
      <c r="F251" t="s">
        <v>35</v>
      </c>
      <c r="G251">
        <v>2</v>
      </c>
      <c r="H251">
        <v>10564</v>
      </c>
      <c r="I251">
        <v>1056.4000000000001</v>
      </c>
      <c r="J251" t="s">
        <v>36</v>
      </c>
      <c r="K251" t="s">
        <v>41</v>
      </c>
      <c r="L251" t="s">
        <v>23</v>
      </c>
      <c r="M251" t="s">
        <v>24</v>
      </c>
      <c r="N251">
        <v>20071.599999999999</v>
      </c>
    </row>
    <row r="252" spans="1:14" x14ac:dyDescent="0.3">
      <c r="A252" t="s">
        <v>292</v>
      </c>
      <c r="B252" s="1">
        <v>45264</v>
      </c>
      <c r="C252" t="s">
        <v>39</v>
      </c>
      <c r="D252" t="s">
        <v>43</v>
      </c>
      <c r="E252" t="s">
        <v>16</v>
      </c>
      <c r="F252" t="s">
        <v>28</v>
      </c>
      <c r="G252">
        <v>8</v>
      </c>
      <c r="H252">
        <v>3353</v>
      </c>
      <c r="I252">
        <v>5364.8</v>
      </c>
      <c r="J252" t="s">
        <v>18</v>
      </c>
      <c r="K252" t="s">
        <v>41</v>
      </c>
      <c r="L252" t="s">
        <v>23</v>
      </c>
      <c r="M252" t="s">
        <v>21</v>
      </c>
      <c r="N252">
        <v>21459.200000000001</v>
      </c>
    </row>
    <row r="253" spans="1:14" x14ac:dyDescent="0.3">
      <c r="A253" t="s">
        <v>293</v>
      </c>
      <c r="B253" s="1">
        <v>45286</v>
      </c>
      <c r="C253" t="s">
        <v>46</v>
      </c>
      <c r="D253" t="s">
        <v>40</v>
      </c>
      <c r="E253" t="s">
        <v>44</v>
      </c>
      <c r="F253" t="s">
        <v>35</v>
      </c>
      <c r="G253">
        <v>7</v>
      </c>
      <c r="H253">
        <v>24034</v>
      </c>
      <c r="I253">
        <v>25235.7</v>
      </c>
      <c r="J253" t="s">
        <v>50</v>
      </c>
      <c r="K253" t="s">
        <v>19</v>
      </c>
      <c r="L253" t="s">
        <v>23</v>
      </c>
      <c r="M253" t="s">
        <v>24</v>
      </c>
      <c r="N253">
        <v>143002.29999999999</v>
      </c>
    </row>
    <row r="254" spans="1:14" x14ac:dyDescent="0.3">
      <c r="A254" t="s">
        <v>294</v>
      </c>
      <c r="B254" s="1">
        <v>45055</v>
      </c>
      <c r="C254" t="s">
        <v>14</v>
      </c>
      <c r="D254" t="s">
        <v>43</v>
      </c>
      <c r="E254" t="s">
        <v>27</v>
      </c>
      <c r="F254" t="s">
        <v>35</v>
      </c>
      <c r="G254">
        <v>8</v>
      </c>
      <c r="H254">
        <v>34674</v>
      </c>
      <c r="I254">
        <v>41608.799999999996</v>
      </c>
      <c r="J254" t="s">
        <v>50</v>
      </c>
      <c r="K254" t="s">
        <v>30</v>
      </c>
      <c r="L254" t="s">
        <v>37</v>
      </c>
      <c r="M254" t="s">
        <v>24</v>
      </c>
      <c r="N254">
        <v>235783.19999999899</v>
      </c>
    </row>
    <row r="255" spans="1:14" x14ac:dyDescent="0.3">
      <c r="A255" t="s">
        <v>295</v>
      </c>
      <c r="B255" s="1">
        <v>45193</v>
      </c>
      <c r="C255" t="s">
        <v>32</v>
      </c>
      <c r="D255" t="s">
        <v>43</v>
      </c>
      <c r="E255" t="s">
        <v>27</v>
      </c>
      <c r="F255" t="s">
        <v>47</v>
      </c>
      <c r="G255">
        <v>3</v>
      </c>
      <c r="H255">
        <v>43266</v>
      </c>
      <c r="I255">
        <v>19469.7</v>
      </c>
      <c r="J255" t="s">
        <v>29</v>
      </c>
      <c r="K255" t="s">
        <v>41</v>
      </c>
      <c r="L255" t="s">
        <v>20</v>
      </c>
      <c r="M255" t="s">
        <v>21</v>
      </c>
      <c r="N255">
        <v>110328.3</v>
      </c>
    </row>
    <row r="256" spans="1:14" x14ac:dyDescent="0.3">
      <c r="A256" t="s">
        <v>296</v>
      </c>
      <c r="B256" s="1">
        <v>45077</v>
      </c>
      <c r="C256" t="s">
        <v>32</v>
      </c>
      <c r="D256" t="s">
        <v>40</v>
      </c>
      <c r="E256" t="s">
        <v>16</v>
      </c>
      <c r="F256" t="s">
        <v>49</v>
      </c>
      <c r="G256">
        <v>7</v>
      </c>
      <c r="H256">
        <v>34535</v>
      </c>
      <c r="I256">
        <v>0</v>
      </c>
      <c r="J256" t="s">
        <v>29</v>
      </c>
      <c r="K256" t="s">
        <v>41</v>
      </c>
      <c r="L256" t="s">
        <v>20</v>
      </c>
      <c r="M256" t="s">
        <v>24</v>
      </c>
      <c r="N256">
        <v>241745</v>
      </c>
    </row>
    <row r="257" spans="1:14" x14ac:dyDescent="0.3">
      <c r="A257" t="s">
        <v>297</v>
      </c>
      <c r="B257" s="1">
        <v>45224</v>
      </c>
      <c r="C257" t="s">
        <v>14</v>
      </c>
      <c r="D257" t="s">
        <v>43</v>
      </c>
      <c r="E257" t="s">
        <v>27</v>
      </c>
      <c r="F257" t="s">
        <v>28</v>
      </c>
      <c r="G257">
        <v>9</v>
      </c>
      <c r="H257">
        <v>10600</v>
      </c>
      <c r="I257">
        <v>14310</v>
      </c>
      <c r="J257" t="s">
        <v>29</v>
      </c>
      <c r="K257" t="s">
        <v>19</v>
      </c>
      <c r="L257" t="s">
        <v>23</v>
      </c>
      <c r="M257" t="s">
        <v>33</v>
      </c>
      <c r="N257">
        <v>81090</v>
      </c>
    </row>
    <row r="258" spans="1:14" x14ac:dyDescent="0.3">
      <c r="A258" t="s">
        <v>298</v>
      </c>
      <c r="B258" s="1">
        <v>45025</v>
      </c>
      <c r="C258" t="s">
        <v>46</v>
      </c>
      <c r="D258" t="s">
        <v>40</v>
      </c>
      <c r="E258" t="s">
        <v>44</v>
      </c>
      <c r="F258" t="s">
        <v>47</v>
      </c>
      <c r="G258">
        <v>3</v>
      </c>
      <c r="H258">
        <v>10545</v>
      </c>
      <c r="I258">
        <v>4745.25</v>
      </c>
      <c r="J258" t="s">
        <v>36</v>
      </c>
      <c r="K258" t="s">
        <v>19</v>
      </c>
      <c r="L258" t="s">
        <v>37</v>
      </c>
      <c r="M258" t="s">
        <v>33</v>
      </c>
      <c r="N258">
        <v>26889.75</v>
      </c>
    </row>
    <row r="259" spans="1:14" x14ac:dyDescent="0.3">
      <c r="A259" t="s">
        <v>299</v>
      </c>
      <c r="B259" s="1">
        <v>45189</v>
      </c>
      <c r="C259" t="s">
        <v>46</v>
      </c>
      <c r="D259" t="s">
        <v>43</v>
      </c>
      <c r="E259" t="s">
        <v>27</v>
      </c>
      <c r="F259" t="s">
        <v>35</v>
      </c>
      <c r="G259">
        <v>6</v>
      </c>
      <c r="H259">
        <v>34096</v>
      </c>
      <c r="I259">
        <v>10228.800000000001</v>
      </c>
      <c r="J259" t="s">
        <v>29</v>
      </c>
      <c r="K259" t="s">
        <v>41</v>
      </c>
      <c r="L259" t="s">
        <v>23</v>
      </c>
      <c r="M259" t="s">
        <v>24</v>
      </c>
      <c r="N259">
        <v>194347.19999999899</v>
      </c>
    </row>
    <row r="260" spans="1:14" x14ac:dyDescent="0.3">
      <c r="A260" t="s">
        <v>300</v>
      </c>
      <c r="B260" s="1">
        <v>45178</v>
      </c>
      <c r="C260" t="s">
        <v>39</v>
      </c>
      <c r="D260" t="s">
        <v>40</v>
      </c>
      <c r="E260" t="s">
        <v>16</v>
      </c>
      <c r="F260" t="s">
        <v>35</v>
      </c>
      <c r="G260">
        <v>2</v>
      </c>
      <c r="H260">
        <v>20094</v>
      </c>
      <c r="I260">
        <v>4018.8</v>
      </c>
      <c r="J260" t="s">
        <v>36</v>
      </c>
      <c r="K260" t="s">
        <v>41</v>
      </c>
      <c r="L260" t="s">
        <v>37</v>
      </c>
      <c r="M260" t="s">
        <v>33</v>
      </c>
      <c r="N260">
        <v>36169.199999999997</v>
      </c>
    </row>
    <row r="261" spans="1:14" x14ac:dyDescent="0.3">
      <c r="A261" t="s">
        <v>301</v>
      </c>
      <c r="B261" s="1">
        <v>45070</v>
      </c>
      <c r="C261" t="s">
        <v>39</v>
      </c>
      <c r="D261" t="s">
        <v>40</v>
      </c>
      <c r="E261" t="s">
        <v>16</v>
      </c>
      <c r="F261" t="s">
        <v>49</v>
      </c>
      <c r="G261">
        <v>2</v>
      </c>
      <c r="H261">
        <v>29099</v>
      </c>
      <c r="I261">
        <v>8729.6999999999989</v>
      </c>
      <c r="J261" t="s">
        <v>50</v>
      </c>
      <c r="K261" t="s">
        <v>30</v>
      </c>
      <c r="L261" t="s">
        <v>23</v>
      </c>
      <c r="M261" t="s">
        <v>21</v>
      </c>
      <c r="N261">
        <v>49468.299999999901</v>
      </c>
    </row>
    <row r="262" spans="1:14" x14ac:dyDescent="0.3">
      <c r="A262" t="s">
        <v>302</v>
      </c>
      <c r="B262" s="1">
        <v>45272</v>
      </c>
      <c r="C262" t="s">
        <v>26</v>
      </c>
      <c r="D262" t="s">
        <v>43</v>
      </c>
      <c r="E262" t="s">
        <v>44</v>
      </c>
      <c r="F262" t="s">
        <v>28</v>
      </c>
      <c r="G262">
        <v>5</v>
      </c>
      <c r="H262">
        <v>40835</v>
      </c>
      <c r="I262">
        <v>40835</v>
      </c>
      <c r="J262" t="s">
        <v>18</v>
      </c>
      <c r="K262" t="s">
        <v>41</v>
      </c>
      <c r="L262" t="s">
        <v>37</v>
      </c>
      <c r="M262" t="s">
        <v>33</v>
      </c>
      <c r="N262">
        <v>163340</v>
      </c>
    </row>
    <row r="263" spans="1:14" x14ac:dyDescent="0.3">
      <c r="A263" t="s">
        <v>303</v>
      </c>
      <c r="B263" s="1">
        <v>45038</v>
      </c>
      <c r="C263" t="s">
        <v>32</v>
      </c>
      <c r="D263" t="s">
        <v>15</v>
      </c>
      <c r="E263" t="s">
        <v>44</v>
      </c>
      <c r="F263" t="s">
        <v>28</v>
      </c>
      <c r="G263">
        <v>5</v>
      </c>
      <c r="H263">
        <v>28429</v>
      </c>
      <c r="I263">
        <v>21321.75</v>
      </c>
      <c r="J263" t="s">
        <v>50</v>
      </c>
      <c r="K263" t="s">
        <v>41</v>
      </c>
      <c r="L263" t="s">
        <v>37</v>
      </c>
      <c r="M263" t="s">
        <v>24</v>
      </c>
      <c r="N263">
        <v>120823.25</v>
      </c>
    </row>
    <row r="264" spans="1:14" x14ac:dyDescent="0.3">
      <c r="A264" t="s">
        <v>304</v>
      </c>
      <c r="B264" s="1">
        <v>44986</v>
      </c>
      <c r="C264" t="s">
        <v>39</v>
      </c>
      <c r="D264" t="s">
        <v>43</v>
      </c>
      <c r="E264" t="s">
        <v>27</v>
      </c>
      <c r="F264" t="s">
        <v>17</v>
      </c>
      <c r="G264">
        <v>7</v>
      </c>
      <c r="H264">
        <v>5783</v>
      </c>
      <c r="I264">
        <v>0</v>
      </c>
      <c r="J264" t="s">
        <v>50</v>
      </c>
      <c r="K264" t="s">
        <v>19</v>
      </c>
      <c r="L264" t="s">
        <v>20</v>
      </c>
      <c r="M264" t="s">
        <v>21</v>
      </c>
      <c r="N264">
        <v>40481</v>
      </c>
    </row>
    <row r="265" spans="1:14" x14ac:dyDescent="0.3">
      <c r="A265" t="s">
        <v>305</v>
      </c>
      <c r="B265" s="1">
        <v>44928</v>
      </c>
      <c r="C265" t="s">
        <v>46</v>
      </c>
      <c r="D265" t="s">
        <v>40</v>
      </c>
      <c r="E265" t="s">
        <v>27</v>
      </c>
      <c r="F265" t="s">
        <v>28</v>
      </c>
      <c r="G265">
        <v>2</v>
      </c>
      <c r="H265">
        <v>5097</v>
      </c>
      <c r="I265">
        <v>0</v>
      </c>
      <c r="J265" t="s">
        <v>50</v>
      </c>
      <c r="K265" t="s">
        <v>41</v>
      </c>
      <c r="L265" t="s">
        <v>23</v>
      </c>
      <c r="M265" t="s">
        <v>33</v>
      </c>
      <c r="N265">
        <v>10194</v>
      </c>
    </row>
    <row r="266" spans="1:14" x14ac:dyDescent="0.3">
      <c r="A266" t="s">
        <v>306</v>
      </c>
      <c r="B266" s="1">
        <v>45230</v>
      </c>
      <c r="C266" t="s">
        <v>14</v>
      </c>
      <c r="D266" t="s">
        <v>15</v>
      </c>
      <c r="E266" t="s">
        <v>16</v>
      </c>
      <c r="F266" t="s">
        <v>49</v>
      </c>
      <c r="G266">
        <v>7</v>
      </c>
      <c r="H266">
        <v>6201</v>
      </c>
      <c r="I266">
        <v>0</v>
      </c>
      <c r="J266" t="s">
        <v>29</v>
      </c>
      <c r="K266" t="s">
        <v>19</v>
      </c>
      <c r="L266" t="s">
        <v>20</v>
      </c>
      <c r="M266" t="s">
        <v>21</v>
      </c>
      <c r="N266">
        <v>43407</v>
      </c>
    </row>
    <row r="267" spans="1:14" x14ac:dyDescent="0.3">
      <c r="A267" t="s">
        <v>307</v>
      </c>
      <c r="B267" s="1">
        <v>45180</v>
      </c>
      <c r="C267" t="s">
        <v>46</v>
      </c>
      <c r="D267" t="s">
        <v>43</v>
      </c>
      <c r="E267" t="s">
        <v>44</v>
      </c>
      <c r="F267" t="s">
        <v>17</v>
      </c>
      <c r="G267">
        <v>5</v>
      </c>
      <c r="H267">
        <v>44081</v>
      </c>
      <c r="I267">
        <v>33060.75</v>
      </c>
      <c r="J267" t="s">
        <v>29</v>
      </c>
      <c r="K267" t="s">
        <v>41</v>
      </c>
      <c r="L267" t="s">
        <v>20</v>
      </c>
      <c r="M267" t="s">
        <v>24</v>
      </c>
      <c r="N267">
        <v>187344.25</v>
      </c>
    </row>
    <row r="268" spans="1:14" x14ac:dyDescent="0.3">
      <c r="A268" t="s">
        <v>308</v>
      </c>
      <c r="B268" s="1">
        <v>45066</v>
      </c>
      <c r="C268" t="s">
        <v>32</v>
      </c>
      <c r="D268" t="s">
        <v>43</v>
      </c>
      <c r="E268" t="s">
        <v>44</v>
      </c>
      <c r="F268" t="s">
        <v>17</v>
      </c>
      <c r="G268">
        <v>6</v>
      </c>
      <c r="H268">
        <v>4767</v>
      </c>
      <c r="I268">
        <v>1430.1000000000001</v>
      </c>
      <c r="J268" t="s">
        <v>29</v>
      </c>
      <c r="K268" t="s">
        <v>41</v>
      </c>
      <c r="L268" t="s">
        <v>37</v>
      </c>
      <c r="M268" t="s">
        <v>33</v>
      </c>
      <c r="N268">
        <v>27171.8999999999</v>
      </c>
    </row>
    <row r="269" spans="1:14" x14ac:dyDescent="0.3">
      <c r="A269" t="s">
        <v>309</v>
      </c>
      <c r="B269" s="1">
        <v>44963</v>
      </c>
      <c r="C269" t="s">
        <v>46</v>
      </c>
      <c r="D269" t="s">
        <v>43</v>
      </c>
      <c r="E269" t="s">
        <v>44</v>
      </c>
      <c r="F269" t="s">
        <v>35</v>
      </c>
      <c r="G269">
        <v>8</v>
      </c>
      <c r="H269">
        <v>9471</v>
      </c>
      <c r="I269">
        <v>15153.6</v>
      </c>
      <c r="J269" t="s">
        <v>18</v>
      </c>
      <c r="K269" t="s">
        <v>41</v>
      </c>
      <c r="L269" t="s">
        <v>23</v>
      </c>
      <c r="M269" t="s">
        <v>21</v>
      </c>
      <c r="N269">
        <v>60614.400000000001</v>
      </c>
    </row>
    <row r="270" spans="1:14" x14ac:dyDescent="0.3">
      <c r="A270" t="s">
        <v>310</v>
      </c>
      <c r="B270" s="1">
        <v>45086</v>
      </c>
      <c r="C270" t="s">
        <v>26</v>
      </c>
      <c r="D270" t="s">
        <v>15</v>
      </c>
      <c r="E270" t="s">
        <v>27</v>
      </c>
      <c r="F270" t="s">
        <v>35</v>
      </c>
      <c r="G270">
        <v>4</v>
      </c>
      <c r="H270">
        <v>47316</v>
      </c>
      <c r="I270">
        <v>28389.599999999999</v>
      </c>
      <c r="J270" t="s">
        <v>29</v>
      </c>
      <c r="K270" t="s">
        <v>30</v>
      </c>
      <c r="L270" t="s">
        <v>37</v>
      </c>
      <c r="M270" t="s">
        <v>21</v>
      </c>
      <c r="N270">
        <v>160874.4</v>
      </c>
    </row>
    <row r="271" spans="1:14" x14ac:dyDescent="0.3">
      <c r="A271" t="s">
        <v>311</v>
      </c>
      <c r="B271" s="1">
        <v>44935</v>
      </c>
      <c r="C271" t="s">
        <v>32</v>
      </c>
      <c r="D271" t="s">
        <v>40</v>
      </c>
      <c r="E271" t="s">
        <v>44</v>
      </c>
      <c r="F271" t="s">
        <v>28</v>
      </c>
      <c r="G271">
        <v>7</v>
      </c>
      <c r="H271">
        <v>11903</v>
      </c>
      <c r="I271">
        <v>4166.05</v>
      </c>
      <c r="J271" t="s">
        <v>36</v>
      </c>
      <c r="K271" t="s">
        <v>19</v>
      </c>
      <c r="L271" t="s">
        <v>37</v>
      </c>
      <c r="M271" t="s">
        <v>33</v>
      </c>
      <c r="N271">
        <v>79154.95</v>
      </c>
    </row>
    <row r="272" spans="1:14" x14ac:dyDescent="0.3">
      <c r="A272" t="s">
        <v>312</v>
      </c>
      <c r="B272" s="1">
        <v>45159</v>
      </c>
      <c r="C272" t="s">
        <v>14</v>
      </c>
      <c r="D272" t="s">
        <v>43</v>
      </c>
      <c r="E272" t="s">
        <v>16</v>
      </c>
      <c r="F272" t="s">
        <v>17</v>
      </c>
      <c r="G272">
        <v>6</v>
      </c>
      <c r="H272">
        <v>13529</v>
      </c>
      <c r="I272">
        <v>4058.7000000000003</v>
      </c>
      <c r="J272" t="s">
        <v>50</v>
      </c>
      <c r="K272" t="s">
        <v>30</v>
      </c>
      <c r="L272" t="s">
        <v>37</v>
      </c>
      <c r="M272" t="s">
        <v>21</v>
      </c>
      <c r="N272">
        <v>77115.3</v>
      </c>
    </row>
    <row r="273" spans="1:14" x14ac:dyDescent="0.3">
      <c r="A273" t="s">
        <v>313</v>
      </c>
      <c r="B273" s="1">
        <v>45025</v>
      </c>
      <c r="C273" t="s">
        <v>26</v>
      </c>
      <c r="D273" t="s">
        <v>43</v>
      </c>
      <c r="E273" t="s">
        <v>16</v>
      </c>
      <c r="F273" t="s">
        <v>35</v>
      </c>
      <c r="G273">
        <v>2</v>
      </c>
      <c r="H273">
        <v>35709</v>
      </c>
      <c r="I273">
        <v>10712.699999999999</v>
      </c>
      <c r="J273" t="s">
        <v>18</v>
      </c>
      <c r="K273" t="s">
        <v>41</v>
      </c>
      <c r="L273" t="s">
        <v>23</v>
      </c>
      <c r="M273" t="s">
        <v>21</v>
      </c>
      <c r="N273">
        <v>60705.299999999901</v>
      </c>
    </row>
    <row r="274" spans="1:14" x14ac:dyDescent="0.3">
      <c r="A274" t="s">
        <v>314</v>
      </c>
      <c r="B274" s="1">
        <v>45073</v>
      </c>
      <c r="C274" t="s">
        <v>32</v>
      </c>
      <c r="D274" t="s">
        <v>43</v>
      </c>
      <c r="E274" t="s">
        <v>27</v>
      </c>
      <c r="F274" t="s">
        <v>49</v>
      </c>
      <c r="G274">
        <v>8</v>
      </c>
      <c r="H274">
        <v>6456</v>
      </c>
      <c r="I274">
        <v>7747.2</v>
      </c>
      <c r="J274" t="s">
        <v>18</v>
      </c>
      <c r="K274" t="s">
        <v>30</v>
      </c>
      <c r="L274" t="s">
        <v>23</v>
      </c>
      <c r="M274" t="s">
        <v>24</v>
      </c>
      <c r="N274">
        <v>43900.799999999901</v>
      </c>
    </row>
    <row r="275" spans="1:14" x14ac:dyDescent="0.3">
      <c r="A275" t="s">
        <v>315</v>
      </c>
      <c r="B275" s="1">
        <v>45230</v>
      </c>
      <c r="C275" t="s">
        <v>14</v>
      </c>
      <c r="D275" t="s">
        <v>43</v>
      </c>
      <c r="E275" t="s">
        <v>27</v>
      </c>
      <c r="F275" t="s">
        <v>35</v>
      </c>
      <c r="G275">
        <v>9</v>
      </c>
      <c r="H275">
        <v>428</v>
      </c>
      <c r="I275">
        <v>192.60000000000002</v>
      </c>
      <c r="J275" t="s">
        <v>18</v>
      </c>
      <c r="K275" t="s">
        <v>19</v>
      </c>
      <c r="L275" t="s">
        <v>37</v>
      </c>
      <c r="M275" t="s">
        <v>24</v>
      </c>
      <c r="N275">
        <v>3659.3999999999901</v>
      </c>
    </row>
    <row r="276" spans="1:14" x14ac:dyDescent="0.3">
      <c r="A276" t="s">
        <v>316</v>
      </c>
      <c r="B276" s="1">
        <v>45134</v>
      </c>
      <c r="C276" t="s">
        <v>26</v>
      </c>
      <c r="D276" t="s">
        <v>43</v>
      </c>
      <c r="E276" t="s">
        <v>44</v>
      </c>
      <c r="F276" t="s">
        <v>35</v>
      </c>
      <c r="G276">
        <v>5</v>
      </c>
      <c r="H276">
        <v>24946</v>
      </c>
      <c r="I276">
        <v>6236.5</v>
      </c>
      <c r="J276" t="s">
        <v>18</v>
      </c>
      <c r="K276" t="s">
        <v>41</v>
      </c>
      <c r="L276" t="s">
        <v>23</v>
      </c>
      <c r="M276" t="s">
        <v>24</v>
      </c>
      <c r="N276">
        <v>118493.5</v>
      </c>
    </row>
    <row r="277" spans="1:14" x14ac:dyDescent="0.3">
      <c r="A277" t="s">
        <v>317</v>
      </c>
      <c r="B277" s="1">
        <v>45057</v>
      </c>
      <c r="C277" t="s">
        <v>26</v>
      </c>
      <c r="D277" t="s">
        <v>40</v>
      </c>
      <c r="E277" t="s">
        <v>27</v>
      </c>
      <c r="F277" t="s">
        <v>17</v>
      </c>
      <c r="G277">
        <v>4</v>
      </c>
      <c r="H277">
        <v>16878</v>
      </c>
      <c r="I277">
        <v>3375.6000000000004</v>
      </c>
      <c r="J277" t="s">
        <v>18</v>
      </c>
      <c r="K277" t="s">
        <v>30</v>
      </c>
      <c r="L277" t="s">
        <v>37</v>
      </c>
      <c r="M277" t="s">
        <v>24</v>
      </c>
      <c r="N277">
        <v>64136.3999999999</v>
      </c>
    </row>
    <row r="278" spans="1:14" x14ac:dyDescent="0.3">
      <c r="A278" t="s">
        <v>318</v>
      </c>
      <c r="B278" s="1">
        <v>45078</v>
      </c>
      <c r="C278" t="s">
        <v>32</v>
      </c>
      <c r="D278" t="s">
        <v>40</v>
      </c>
      <c r="E278" t="s">
        <v>16</v>
      </c>
      <c r="F278" t="s">
        <v>17</v>
      </c>
      <c r="G278">
        <v>6</v>
      </c>
      <c r="H278">
        <v>37252</v>
      </c>
      <c r="I278">
        <v>33526.799999999996</v>
      </c>
      <c r="J278" t="s">
        <v>36</v>
      </c>
      <c r="K278" t="s">
        <v>30</v>
      </c>
      <c r="L278" t="s">
        <v>23</v>
      </c>
      <c r="M278" t="s">
        <v>24</v>
      </c>
      <c r="N278">
        <v>189985.19999999899</v>
      </c>
    </row>
    <row r="279" spans="1:14" x14ac:dyDescent="0.3">
      <c r="A279" t="s">
        <v>319</v>
      </c>
      <c r="B279" s="1">
        <v>44980</v>
      </c>
      <c r="C279" t="s">
        <v>39</v>
      </c>
      <c r="D279" t="s">
        <v>43</v>
      </c>
      <c r="E279" t="s">
        <v>44</v>
      </c>
      <c r="F279" t="s">
        <v>47</v>
      </c>
      <c r="G279">
        <v>8</v>
      </c>
      <c r="H279">
        <v>46232</v>
      </c>
      <c r="I279">
        <v>18492.8</v>
      </c>
      <c r="J279" t="s">
        <v>50</v>
      </c>
      <c r="K279" t="s">
        <v>19</v>
      </c>
      <c r="L279" t="s">
        <v>23</v>
      </c>
      <c r="M279" t="s">
        <v>24</v>
      </c>
      <c r="N279">
        <v>351363.2</v>
      </c>
    </row>
    <row r="280" spans="1:14" x14ac:dyDescent="0.3">
      <c r="A280" t="s">
        <v>320</v>
      </c>
      <c r="B280" s="1">
        <v>45046</v>
      </c>
      <c r="C280" t="s">
        <v>26</v>
      </c>
      <c r="D280" t="s">
        <v>15</v>
      </c>
      <c r="E280" t="s">
        <v>16</v>
      </c>
      <c r="F280" t="s">
        <v>49</v>
      </c>
      <c r="G280">
        <v>3</v>
      </c>
      <c r="H280">
        <v>46358</v>
      </c>
      <c r="I280">
        <v>0</v>
      </c>
      <c r="J280" t="s">
        <v>18</v>
      </c>
      <c r="K280" t="s">
        <v>30</v>
      </c>
      <c r="L280" t="s">
        <v>20</v>
      </c>
      <c r="M280" t="s">
        <v>33</v>
      </c>
      <c r="N280">
        <v>139074</v>
      </c>
    </row>
    <row r="281" spans="1:14" x14ac:dyDescent="0.3">
      <c r="A281" t="s">
        <v>321</v>
      </c>
      <c r="B281" s="1">
        <v>45087</v>
      </c>
      <c r="C281" t="s">
        <v>26</v>
      </c>
      <c r="D281" t="s">
        <v>40</v>
      </c>
      <c r="E281" t="s">
        <v>44</v>
      </c>
      <c r="F281" t="s">
        <v>17</v>
      </c>
      <c r="G281">
        <v>1</v>
      </c>
      <c r="H281">
        <v>23385</v>
      </c>
      <c r="I281">
        <v>3507.75</v>
      </c>
      <c r="J281" t="s">
        <v>50</v>
      </c>
      <c r="K281" t="s">
        <v>19</v>
      </c>
      <c r="L281" t="s">
        <v>37</v>
      </c>
      <c r="M281" t="s">
        <v>24</v>
      </c>
      <c r="N281">
        <v>19877.25</v>
      </c>
    </row>
    <row r="282" spans="1:14" x14ac:dyDescent="0.3">
      <c r="A282" t="s">
        <v>322</v>
      </c>
      <c r="B282" s="1">
        <v>45042</v>
      </c>
      <c r="C282" t="s">
        <v>14</v>
      </c>
      <c r="D282" t="s">
        <v>15</v>
      </c>
      <c r="E282" t="s">
        <v>27</v>
      </c>
      <c r="F282" t="s">
        <v>28</v>
      </c>
      <c r="G282">
        <v>4</v>
      </c>
      <c r="H282">
        <v>33886</v>
      </c>
      <c r="I282">
        <v>0</v>
      </c>
      <c r="J282" t="s">
        <v>29</v>
      </c>
      <c r="K282" t="s">
        <v>41</v>
      </c>
      <c r="L282" t="s">
        <v>20</v>
      </c>
      <c r="M282" t="s">
        <v>21</v>
      </c>
      <c r="N282">
        <v>135544</v>
      </c>
    </row>
    <row r="283" spans="1:14" x14ac:dyDescent="0.3">
      <c r="A283" t="s">
        <v>323</v>
      </c>
      <c r="B283" s="1">
        <v>45001</v>
      </c>
      <c r="C283" t="s">
        <v>46</v>
      </c>
      <c r="D283" t="s">
        <v>40</v>
      </c>
      <c r="E283" t="s">
        <v>44</v>
      </c>
      <c r="F283" t="s">
        <v>49</v>
      </c>
      <c r="G283">
        <v>4</v>
      </c>
      <c r="H283">
        <v>11645</v>
      </c>
      <c r="I283">
        <v>4658</v>
      </c>
      <c r="J283" t="s">
        <v>18</v>
      </c>
      <c r="K283" t="s">
        <v>41</v>
      </c>
      <c r="L283" t="s">
        <v>20</v>
      </c>
      <c r="M283" t="s">
        <v>33</v>
      </c>
      <c r="N283">
        <v>41922</v>
      </c>
    </row>
    <row r="284" spans="1:14" x14ac:dyDescent="0.3">
      <c r="A284" t="s">
        <v>324</v>
      </c>
      <c r="B284" s="1">
        <v>45039</v>
      </c>
      <c r="C284" t="s">
        <v>32</v>
      </c>
      <c r="D284" t="s">
        <v>43</v>
      </c>
      <c r="E284" t="s">
        <v>44</v>
      </c>
      <c r="F284" t="s">
        <v>49</v>
      </c>
      <c r="G284">
        <v>1</v>
      </c>
      <c r="H284">
        <v>33466</v>
      </c>
      <c r="I284">
        <v>5019.8999999999996</v>
      </c>
      <c r="J284" t="s">
        <v>18</v>
      </c>
      <c r="K284" t="s">
        <v>30</v>
      </c>
      <c r="L284" t="s">
        <v>37</v>
      </c>
      <c r="M284" t="s">
        <v>21</v>
      </c>
      <c r="N284">
        <v>28446.1</v>
      </c>
    </row>
    <row r="285" spans="1:14" x14ac:dyDescent="0.3">
      <c r="A285" t="s">
        <v>325</v>
      </c>
      <c r="B285" s="1">
        <v>45030</v>
      </c>
      <c r="C285" t="s">
        <v>32</v>
      </c>
      <c r="D285" t="s">
        <v>40</v>
      </c>
      <c r="E285" t="s">
        <v>16</v>
      </c>
      <c r="F285" t="s">
        <v>17</v>
      </c>
      <c r="G285">
        <v>9</v>
      </c>
      <c r="H285">
        <v>3009</v>
      </c>
      <c r="I285">
        <v>2708.1000000000004</v>
      </c>
      <c r="J285" t="s">
        <v>50</v>
      </c>
      <c r="K285" t="s">
        <v>41</v>
      </c>
      <c r="L285" t="s">
        <v>37</v>
      </c>
      <c r="M285" t="s">
        <v>24</v>
      </c>
      <c r="N285">
        <v>24372.9</v>
      </c>
    </row>
    <row r="286" spans="1:14" x14ac:dyDescent="0.3">
      <c r="A286" t="s">
        <v>326</v>
      </c>
      <c r="B286" s="1">
        <v>45266</v>
      </c>
      <c r="C286" t="s">
        <v>39</v>
      </c>
      <c r="D286" t="s">
        <v>43</v>
      </c>
      <c r="E286" t="s">
        <v>16</v>
      </c>
      <c r="F286" t="s">
        <v>49</v>
      </c>
      <c r="G286">
        <v>3</v>
      </c>
      <c r="H286">
        <v>37929</v>
      </c>
      <c r="I286">
        <v>5689.35</v>
      </c>
      <c r="J286" t="s">
        <v>18</v>
      </c>
      <c r="K286" t="s">
        <v>41</v>
      </c>
      <c r="L286" t="s">
        <v>23</v>
      </c>
      <c r="M286" t="s">
        <v>24</v>
      </c>
      <c r="N286">
        <v>108097.65</v>
      </c>
    </row>
    <row r="287" spans="1:14" x14ac:dyDescent="0.3">
      <c r="A287" t="s">
        <v>327</v>
      </c>
      <c r="B287" s="1">
        <v>45180</v>
      </c>
      <c r="C287" t="s">
        <v>39</v>
      </c>
      <c r="D287" t="s">
        <v>40</v>
      </c>
      <c r="E287" t="s">
        <v>44</v>
      </c>
      <c r="F287" t="s">
        <v>17</v>
      </c>
      <c r="G287">
        <v>5</v>
      </c>
      <c r="H287">
        <v>41985</v>
      </c>
      <c r="I287">
        <v>10496.25</v>
      </c>
      <c r="J287" t="s">
        <v>18</v>
      </c>
      <c r="K287" t="s">
        <v>30</v>
      </c>
      <c r="L287" t="s">
        <v>37</v>
      </c>
      <c r="M287" t="s">
        <v>21</v>
      </c>
      <c r="N287">
        <v>199428.75</v>
      </c>
    </row>
    <row r="288" spans="1:14" x14ac:dyDescent="0.3">
      <c r="A288" t="s">
        <v>328</v>
      </c>
      <c r="B288" s="1">
        <v>45153</v>
      </c>
      <c r="C288" t="s">
        <v>32</v>
      </c>
      <c r="D288" t="s">
        <v>43</v>
      </c>
      <c r="E288" t="s">
        <v>27</v>
      </c>
      <c r="F288" t="s">
        <v>35</v>
      </c>
      <c r="G288">
        <v>6</v>
      </c>
      <c r="H288">
        <v>36747</v>
      </c>
      <c r="I288">
        <v>44096.4</v>
      </c>
      <c r="J288" t="s">
        <v>18</v>
      </c>
      <c r="K288" t="s">
        <v>41</v>
      </c>
      <c r="L288" t="s">
        <v>20</v>
      </c>
      <c r="M288" t="s">
        <v>21</v>
      </c>
      <c r="N288">
        <v>176385.6</v>
      </c>
    </row>
    <row r="289" spans="1:14" x14ac:dyDescent="0.3">
      <c r="A289" t="s">
        <v>329</v>
      </c>
      <c r="B289" s="1">
        <v>45038</v>
      </c>
      <c r="C289" t="s">
        <v>39</v>
      </c>
      <c r="D289" t="s">
        <v>43</v>
      </c>
      <c r="E289" t="s">
        <v>27</v>
      </c>
      <c r="F289" t="s">
        <v>47</v>
      </c>
      <c r="G289">
        <v>8</v>
      </c>
      <c r="H289">
        <v>43018</v>
      </c>
      <c r="I289">
        <v>17207.2</v>
      </c>
      <c r="J289" t="s">
        <v>36</v>
      </c>
      <c r="K289" t="s">
        <v>30</v>
      </c>
      <c r="L289" t="s">
        <v>20</v>
      </c>
      <c r="M289" t="s">
        <v>21</v>
      </c>
      <c r="N289">
        <v>326936.8</v>
      </c>
    </row>
    <row r="290" spans="1:14" x14ac:dyDescent="0.3">
      <c r="A290" t="s">
        <v>330</v>
      </c>
      <c r="B290" s="1">
        <v>45025</v>
      </c>
      <c r="C290" t="s">
        <v>14</v>
      </c>
      <c r="D290" t="s">
        <v>43</v>
      </c>
      <c r="E290" t="s">
        <v>16</v>
      </c>
      <c r="F290" t="s">
        <v>35</v>
      </c>
      <c r="G290">
        <v>6</v>
      </c>
      <c r="H290">
        <v>35086</v>
      </c>
      <c r="I290">
        <v>21051.600000000002</v>
      </c>
      <c r="J290" t="s">
        <v>36</v>
      </c>
      <c r="K290" t="s">
        <v>19</v>
      </c>
      <c r="L290" t="s">
        <v>37</v>
      </c>
      <c r="M290" t="s">
        <v>33</v>
      </c>
      <c r="N290">
        <v>189464.4</v>
      </c>
    </row>
    <row r="291" spans="1:14" x14ac:dyDescent="0.3">
      <c r="A291" t="s">
        <v>331</v>
      </c>
      <c r="B291" s="1">
        <v>45079</v>
      </c>
      <c r="C291" t="s">
        <v>32</v>
      </c>
      <c r="D291" t="s">
        <v>43</v>
      </c>
      <c r="E291" t="s">
        <v>27</v>
      </c>
      <c r="F291" t="s">
        <v>17</v>
      </c>
      <c r="G291">
        <v>3</v>
      </c>
      <c r="H291">
        <v>6591</v>
      </c>
      <c r="I291">
        <v>988.65000000000009</v>
      </c>
      <c r="J291" t="s">
        <v>18</v>
      </c>
      <c r="K291" t="s">
        <v>19</v>
      </c>
      <c r="L291" t="s">
        <v>20</v>
      </c>
      <c r="M291" t="s">
        <v>24</v>
      </c>
      <c r="N291">
        <v>18784.349999999999</v>
      </c>
    </row>
    <row r="292" spans="1:14" x14ac:dyDescent="0.3">
      <c r="A292" t="s">
        <v>332</v>
      </c>
      <c r="B292" s="1">
        <v>45275</v>
      </c>
      <c r="C292" t="s">
        <v>39</v>
      </c>
      <c r="D292" t="s">
        <v>15</v>
      </c>
      <c r="E292" t="s">
        <v>16</v>
      </c>
      <c r="F292" t="s">
        <v>17</v>
      </c>
      <c r="G292">
        <v>6</v>
      </c>
      <c r="H292">
        <v>345</v>
      </c>
      <c r="I292">
        <v>310.5</v>
      </c>
      <c r="J292" t="s">
        <v>36</v>
      </c>
      <c r="K292" t="s">
        <v>19</v>
      </c>
      <c r="L292" t="s">
        <v>23</v>
      </c>
      <c r="M292" t="s">
        <v>21</v>
      </c>
      <c r="N292">
        <v>1759.5</v>
      </c>
    </row>
    <row r="293" spans="1:14" x14ac:dyDescent="0.3">
      <c r="A293" t="s">
        <v>333</v>
      </c>
      <c r="B293" s="1">
        <v>45264</v>
      </c>
      <c r="C293" t="s">
        <v>32</v>
      </c>
      <c r="D293" t="s">
        <v>43</v>
      </c>
      <c r="E293" t="s">
        <v>27</v>
      </c>
      <c r="F293" t="s">
        <v>35</v>
      </c>
      <c r="G293">
        <v>1</v>
      </c>
      <c r="H293">
        <v>14129</v>
      </c>
      <c r="I293">
        <v>706.45</v>
      </c>
      <c r="J293" t="s">
        <v>29</v>
      </c>
      <c r="K293" t="s">
        <v>30</v>
      </c>
      <c r="L293" t="s">
        <v>20</v>
      </c>
      <c r="M293" t="s">
        <v>24</v>
      </c>
      <c r="N293">
        <v>13422.55</v>
      </c>
    </row>
    <row r="294" spans="1:14" x14ac:dyDescent="0.3">
      <c r="A294" t="s">
        <v>334</v>
      </c>
      <c r="B294" s="1">
        <v>45120</v>
      </c>
      <c r="C294" t="s">
        <v>46</v>
      </c>
      <c r="D294" t="s">
        <v>15</v>
      </c>
      <c r="E294" t="s">
        <v>44</v>
      </c>
      <c r="F294" t="s">
        <v>28</v>
      </c>
      <c r="G294">
        <v>4</v>
      </c>
      <c r="H294">
        <v>24526</v>
      </c>
      <c r="I294">
        <v>19620.8</v>
      </c>
      <c r="J294" t="s">
        <v>18</v>
      </c>
      <c r="K294" t="s">
        <v>30</v>
      </c>
      <c r="L294" t="s">
        <v>23</v>
      </c>
      <c r="M294" t="s">
        <v>21</v>
      </c>
      <c r="N294">
        <v>78483.199999999997</v>
      </c>
    </row>
    <row r="295" spans="1:14" x14ac:dyDescent="0.3">
      <c r="A295" t="s">
        <v>335</v>
      </c>
      <c r="B295" s="1">
        <v>45236</v>
      </c>
      <c r="C295" t="s">
        <v>26</v>
      </c>
      <c r="D295" t="s">
        <v>15</v>
      </c>
      <c r="E295" t="s">
        <v>16</v>
      </c>
      <c r="F295" t="s">
        <v>28</v>
      </c>
      <c r="G295">
        <v>6</v>
      </c>
      <c r="H295">
        <v>30191</v>
      </c>
      <c r="I295">
        <v>9057.3000000000011</v>
      </c>
      <c r="J295" t="s">
        <v>29</v>
      </c>
      <c r="K295" t="s">
        <v>41</v>
      </c>
      <c r="L295" t="s">
        <v>20</v>
      </c>
      <c r="M295" t="s">
        <v>24</v>
      </c>
      <c r="N295">
        <v>172088.69999999899</v>
      </c>
    </row>
    <row r="296" spans="1:14" x14ac:dyDescent="0.3">
      <c r="A296" t="s">
        <v>336</v>
      </c>
      <c r="B296" s="1">
        <v>45089</v>
      </c>
      <c r="C296" t="s">
        <v>32</v>
      </c>
      <c r="D296" t="s">
        <v>43</v>
      </c>
      <c r="E296" t="s">
        <v>16</v>
      </c>
      <c r="F296" t="s">
        <v>28</v>
      </c>
      <c r="G296">
        <v>7</v>
      </c>
      <c r="H296">
        <v>47885</v>
      </c>
      <c r="I296">
        <v>33519.5</v>
      </c>
      <c r="J296" t="s">
        <v>50</v>
      </c>
      <c r="K296" t="s">
        <v>41</v>
      </c>
      <c r="L296" t="s">
        <v>23</v>
      </c>
      <c r="M296" t="s">
        <v>33</v>
      </c>
      <c r="N296">
        <v>301675.5</v>
      </c>
    </row>
    <row r="297" spans="1:14" x14ac:dyDescent="0.3">
      <c r="A297" t="s">
        <v>337</v>
      </c>
      <c r="B297" s="1">
        <v>45134</v>
      </c>
      <c r="C297" t="s">
        <v>26</v>
      </c>
      <c r="D297" t="s">
        <v>15</v>
      </c>
      <c r="E297" t="s">
        <v>44</v>
      </c>
      <c r="F297" t="s">
        <v>17</v>
      </c>
      <c r="G297">
        <v>3</v>
      </c>
      <c r="H297">
        <v>37533</v>
      </c>
      <c r="I297">
        <v>11259.900000000001</v>
      </c>
      <c r="J297" t="s">
        <v>29</v>
      </c>
      <c r="K297" t="s">
        <v>41</v>
      </c>
      <c r="L297" t="s">
        <v>23</v>
      </c>
      <c r="M297" t="s">
        <v>24</v>
      </c>
      <c r="N297">
        <v>101339.1</v>
      </c>
    </row>
    <row r="298" spans="1:14" x14ac:dyDescent="0.3">
      <c r="A298" t="s">
        <v>338</v>
      </c>
      <c r="B298" s="1">
        <v>45095</v>
      </c>
      <c r="C298" t="s">
        <v>39</v>
      </c>
      <c r="D298" t="s">
        <v>40</v>
      </c>
      <c r="E298" t="s">
        <v>16</v>
      </c>
      <c r="F298" t="s">
        <v>49</v>
      </c>
      <c r="G298">
        <v>9</v>
      </c>
      <c r="H298">
        <v>16776</v>
      </c>
      <c r="I298">
        <v>7549.2000000000007</v>
      </c>
      <c r="J298" t="s">
        <v>50</v>
      </c>
      <c r="K298" t="s">
        <v>41</v>
      </c>
      <c r="L298" t="s">
        <v>37</v>
      </c>
      <c r="M298" t="s">
        <v>21</v>
      </c>
      <c r="N298">
        <v>143434.79999999999</v>
      </c>
    </row>
    <row r="299" spans="1:14" x14ac:dyDescent="0.3">
      <c r="A299" t="s">
        <v>339</v>
      </c>
      <c r="B299" s="1">
        <v>45087</v>
      </c>
      <c r="C299" t="s">
        <v>26</v>
      </c>
      <c r="D299" t="s">
        <v>43</v>
      </c>
      <c r="E299" t="s">
        <v>27</v>
      </c>
      <c r="F299" t="s">
        <v>17</v>
      </c>
      <c r="G299">
        <v>7</v>
      </c>
      <c r="H299">
        <v>39605</v>
      </c>
      <c r="I299">
        <v>27723.5</v>
      </c>
      <c r="J299" t="s">
        <v>18</v>
      </c>
      <c r="K299" t="s">
        <v>41</v>
      </c>
      <c r="L299" t="s">
        <v>23</v>
      </c>
      <c r="M299" t="s">
        <v>24</v>
      </c>
      <c r="N299">
        <v>249511.5</v>
      </c>
    </row>
    <row r="300" spans="1:14" x14ac:dyDescent="0.3">
      <c r="A300" t="s">
        <v>340</v>
      </c>
      <c r="B300" s="1">
        <v>44994</v>
      </c>
      <c r="C300" t="s">
        <v>32</v>
      </c>
      <c r="D300" t="s">
        <v>15</v>
      </c>
      <c r="E300" t="s">
        <v>27</v>
      </c>
      <c r="F300" t="s">
        <v>49</v>
      </c>
      <c r="G300">
        <v>1</v>
      </c>
      <c r="H300">
        <v>28664</v>
      </c>
      <c r="I300">
        <v>2866.4</v>
      </c>
      <c r="J300" t="s">
        <v>50</v>
      </c>
      <c r="K300" t="s">
        <v>30</v>
      </c>
      <c r="L300" t="s">
        <v>37</v>
      </c>
      <c r="M300" t="s">
        <v>33</v>
      </c>
      <c r="N300">
        <v>25797.599999999999</v>
      </c>
    </row>
    <row r="301" spans="1:14" x14ac:dyDescent="0.3">
      <c r="A301" t="s">
        <v>341</v>
      </c>
      <c r="B301" s="1">
        <v>45215</v>
      </c>
      <c r="C301" t="s">
        <v>46</v>
      </c>
      <c r="D301" t="s">
        <v>43</v>
      </c>
      <c r="E301" t="s">
        <v>16</v>
      </c>
      <c r="F301" t="s">
        <v>35</v>
      </c>
      <c r="G301">
        <v>2</v>
      </c>
      <c r="H301">
        <v>8443</v>
      </c>
      <c r="I301">
        <v>3377.2000000000003</v>
      </c>
      <c r="J301" t="s">
        <v>50</v>
      </c>
      <c r="K301" t="s">
        <v>30</v>
      </c>
      <c r="L301" t="s">
        <v>20</v>
      </c>
      <c r="M301" t="s">
        <v>33</v>
      </c>
      <c r="N301">
        <v>13508.8</v>
      </c>
    </row>
    <row r="302" spans="1:14" x14ac:dyDescent="0.3">
      <c r="A302" t="s">
        <v>342</v>
      </c>
      <c r="B302" s="1">
        <v>45203</v>
      </c>
      <c r="C302" t="s">
        <v>39</v>
      </c>
      <c r="D302" t="s">
        <v>43</v>
      </c>
      <c r="E302" t="s">
        <v>27</v>
      </c>
      <c r="F302" t="s">
        <v>47</v>
      </c>
      <c r="G302">
        <v>1</v>
      </c>
      <c r="H302">
        <v>31801</v>
      </c>
      <c r="I302">
        <v>4770.1499999999996</v>
      </c>
      <c r="J302" t="s">
        <v>29</v>
      </c>
      <c r="K302" t="s">
        <v>19</v>
      </c>
      <c r="L302" t="s">
        <v>20</v>
      </c>
      <c r="M302" t="s">
        <v>24</v>
      </c>
      <c r="N302">
        <v>27030.85</v>
      </c>
    </row>
    <row r="303" spans="1:14" x14ac:dyDescent="0.3">
      <c r="A303" t="s">
        <v>343</v>
      </c>
      <c r="B303" s="1">
        <v>45230</v>
      </c>
      <c r="C303" t="s">
        <v>32</v>
      </c>
      <c r="D303" t="s">
        <v>43</v>
      </c>
      <c r="E303" t="s">
        <v>16</v>
      </c>
      <c r="F303" t="s">
        <v>49</v>
      </c>
      <c r="G303">
        <v>9</v>
      </c>
      <c r="H303">
        <v>2610</v>
      </c>
      <c r="I303">
        <v>4698</v>
      </c>
      <c r="J303" t="s">
        <v>29</v>
      </c>
      <c r="K303" t="s">
        <v>19</v>
      </c>
      <c r="L303" t="s">
        <v>20</v>
      </c>
      <c r="M303" t="s">
        <v>21</v>
      </c>
      <c r="N303">
        <v>18792</v>
      </c>
    </row>
    <row r="304" spans="1:14" x14ac:dyDescent="0.3">
      <c r="A304" t="s">
        <v>344</v>
      </c>
      <c r="B304" s="1">
        <v>45061</v>
      </c>
      <c r="C304" t="s">
        <v>39</v>
      </c>
      <c r="D304" t="s">
        <v>15</v>
      </c>
      <c r="E304" t="s">
        <v>44</v>
      </c>
      <c r="F304" t="s">
        <v>28</v>
      </c>
      <c r="G304">
        <v>9</v>
      </c>
      <c r="H304">
        <v>2020</v>
      </c>
      <c r="I304">
        <v>0</v>
      </c>
      <c r="J304" t="s">
        <v>29</v>
      </c>
      <c r="K304" t="s">
        <v>19</v>
      </c>
      <c r="L304" t="s">
        <v>23</v>
      </c>
      <c r="M304" t="s">
        <v>33</v>
      </c>
      <c r="N304">
        <v>18180</v>
      </c>
    </row>
    <row r="305" spans="1:14" x14ac:dyDescent="0.3">
      <c r="A305" t="s">
        <v>345</v>
      </c>
      <c r="B305" s="1">
        <v>45121</v>
      </c>
      <c r="C305" t="s">
        <v>14</v>
      </c>
      <c r="D305" t="s">
        <v>40</v>
      </c>
      <c r="E305" t="s">
        <v>16</v>
      </c>
      <c r="F305" t="s">
        <v>17</v>
      </c>
      <c r="G305">
        <v>7</v>
      </c>
      <c r="H305">
        <v>35489</v>
      </c>
      <c r="I305">
        <v>49684.600000000006</v>
      </c>
      <c r="J305" t="s">
        <v>18</v>
      </c>
      <c r="K305" t="s">
        <v>19</v>
      </c>
      <c r="L305" t="s">
        <v>20</v>
      </c>
      <c r="M305" t="s">
        <v>33</v>
      </c>
      <c r="N305">
        <v>198738.4</v>
      </c>
    </row>
    <row r="306" spans="1:14" x14ac:dyDescent="0.3">
      <c r="A306" t="s">
        <v>346</v>
      </c>
      <c r="B306" s="1">
        <v>45054</v>
      </c>
      <c r="C306" t="s">
        <v>26</v>
      </c>
      <c r="D306" t="s">
        <v>40</v>
      </c>
      <c r="E306" t="s">
        <v>44</v>
      </c>
      <c r="F306" t="s">
        <v>35</v>
      </c>
      <c r="G306">
        <v>3</v>
      </c>
      <c r="H306">
        <v>38850</v>
      </c>
      <c r="I306">
        <v>5827.5</v>
      </c>
      <c r="J306" t="s">
        <v>18</v>
      </c>
      <c r="K306" t="s">
        <v>30</v>
      </c>
      <c r="L306" t="s">
        <v>20</v>
      </c>
      <c r="M306" t="s">
        <v>24</v>
      </c>
      <c r="N306">
        <v>110722.5</v>
      </c>
    </row>
    <row r="307" spans="1:14" x14ac:dyDescent="0.3">
      <c r="A307" t="s">
        <v>347</v>
      </c>
      <c r="B307" s="1">
        <v>44959</v>
      </c>
      <c r="C307" t="s">
        <v>14</v>
      </c>
      <c r="D307" t="s">
        <v>15</v>
      </c>
      <c r="E307" t="s">
        <v>27</v>
      </c>
      <c r="F307" t="s">
        <v>28</v>
      </c>
      <c r="G307">
        <v>5</v>
      </c>
      <c r="H307">
        <v>34835</v>
      </c>
      <c r="I307">
        <v>26126.25</v>
      </c>
      <c r="J307" t="s">
        <v>29</v>
      </c>
      <c r="K307" t="s">
        <v>30</v>
      </c>
      <c r="L307" t="s">
        <v>37</v>
      </c>
      <c r="M307" t="s">
        <v>33</v>
      </c>
      <c r="N307">
        <v>148048.75</v>
      </c>
    </row>
    <row r="308" spans="1:14" x14ac:dyDescent="0.3">
      <c r="A308" t="s">
        <v>348</v>
      </c>
      <c r="B308" s="1">
        <v>45102</v>
      </c>
      <c r="C308" t="s">
        <v>32</v>
      </c>
      <c r="D308" t="s">
        <v>43</v>
      </c>
      <c r="E308" t="s">
        <v>44</v>
      </c>
      <c r="F308" t="s">
        <v>35</v>
      </c>
      <c r="G308">
        <v>4</v>
      </c>
      <c r="H308">
        <v>7665</v>
      </c>
      <c r="I308">
        <v>1533</v>
      </c>
      <c r="J308" t="s">
        <v>18</v>
      </c>
      <c r="K308" t="s">
        <v>30</v>
      </c>
      <c r="L308" t="s">
        <v>37</v>
      </c>
      <c r="M308" t="s">
        <v>33</v>
      </c>
      <c r="N308">
        <v>29127</v>
      </c>
    </row>
    <row r="309" spans="1:14" x14ac:dyDescent="0.3">
      <c r="A309" t="s">
        <v>349</v>
      </c>
      <c r="B309" s="1">
        <v>44948</v>
      </c>
      <c r="C309" t="s">
        <v>46</v>
      </c>
      <c r="D309" t="s">
        <v>15</v>
      </c>
      <c r="E309" t="s">
        <v>27</v>
      </c>
      <c r="F309" t="s">
        <v>47</v>
      </c>
      <c r="G309">
        <v>7</v>
      </c>
      <c r="H309">
        <v>32639</v>
      </c>
      <c r="I309">
        <v>0</v>
      </c>
      <c r="J309" t="s">
        <v>18</v>
      </c>
      <c r="K309" t="s">
        <v>41</v>
      </c>
      <c r="L309" t="s">
        <v>20</v>
      </c>
      <c r="M309" t="s">
        <v>21</v>
      </c>
      <c r="N309">
        <v>228473</v>
      </c>
    </row>
    <row r="310" spans="1:14" x14ac:dyDescent="0.3">
      <c r="A310" t="s">
        <v>350</v>
      </c>
      <c r="B310" s="1">
        <v>45164</v>
      </c>
      <c r="C310" t="s">
        <v>39</v>
      </c>
      <c r="D310" t="s">
        <v>15</v>
      </c>
      <c r="E310" t="s">
        <v>16</v>
      </c>
      <c r="F310" t="s">
        <v>17</v>
      </c>
      <c r="G310">
        <v>9</v>
      </c>
      <c r="H310">
        <v>27514</v>
      </c>
      <c r="I310">
        <v>37143.9</v>
      </c>
      <c r="J310" t="s">
        <v>50</v>
      </c>
      <c r="K310" t="s">
        <v>41</v>
      </c>
      <c r="L310" t="s">
        <v>20</v>
      </c>
      <c r="M310" t="s">
        <v>21</v>
      </c>
      <c r="N310">
        <v>210482.1</v>
      </c>
    </row>
    <row r="311" spans="1:14" x14ac:dyDescent="0.3">
      <c r="A311" t="s">
        <v>351</v>
      </c>
      <c r="B311" s="1">
        <v>45084</v>
      </c>
      <c r="C311" t="s">
        <v>26</v>
      </c>
      <c r="D311" t="s">
        <v>15</v>
      </c>
      <c r="E311" t="s">
        <v>27</v>
      </c>
      <c r="F311" t="s">
        <v>17</v>
      </c>
      <c r="G311">
        <v>2</v>
      </c>
      <c r="H311">
        <v>44429</v>
      </c>
      <c r="I311">
        <v>8885.8000000000011</v>
      </c>
      <c r="J311" t="s">
        <v>50</v>
      </c>
      <c r="K311" t="s">
        <v>19</v>
      </c>
      <c r="L311" t="s">
        <v>23</v>
      </c>
      <c r="M311" t="s">
        <v>21</v>
      </c>
      <c r="N311">
        <v>79972.2</v>
      </c>
    </row>
    <row r="312" spans="1:14" x14ac:dyDescent="0.3">
      <c r="A312" t="s">
        <v>352</v>
      </c>
      <c r="B312" s="1">
        <v>44964</v>
      </c>
      <c r="C312" t="s">
        <v>39</v>
      </c>
      <c r="D312" t="s">
        <v>43</v>
      </c>
      <c r="E312" t="s">
        <v>16</v>
      </c>
      <c r="F312" t="s">
        <v>47</v>
      </c>
      <c r="G312">
        <v>8</v>
      </c>
      <c r="H312">
        <v>19783</v>
      </c>
      <c r="I312">
        <v>31652.800000000003</v>
      </c>
      <c r="J312" t="s">
        <v>29</v>
      </c>
      <c r="K312" t="s">
        <v>41</v>
      </c>
      <c r="L312" t="s">
        <v>23</v>
      </c>
      <c r="M312" t="s">
        <v>24</v>
      </c>
      <c r="N312">
        <v>126611.2</v>
      </c>
    </row>
    <row r="313" spans="1:14" x14ac:dyDescent="0.3">
      <c r="A313" t="s">
        <v>353</v>
      </c>
      <c r="B313" s="1">
        <v>45156</v>
      </c>
      <c r="C313" t="s">
        <v>32</v>
      </c>
      <c r="D313" t="s">
        <v>15</v>
      </c>
      <c r="E313" t="s">
        <v>16</v>
      </c>
      <c r="F313" t="s">
        <v>17</v>
      </c>
      <c r="G313">
        <v>9</v>
      </c>
      <c r="H313">
        <v>27355</v>
      </c>
      <c r="I313">
        <v>12309.75</v>
      </c>
      <c r="J313" t="s">
        <v>18</v>
      </c>
      <c r="K313" t="s">
        <v>30</v>
      </c>
      <c r="L313" t="s">
        <v>20</v>
      </c>
      <c r="M313" t="s">
        <v>33</v>
      </c>
      <c r="N313">
        <v>233885.25</v>
      </c>
    </row>
    <row r="314" spans="1:14" x14ac:dyDescent="0.3">
      <c r="A314" t="s">
        <v>354</v>
      </c>
      <c r="B314" s="1">
        <v>45291</v>
      </c>
      <c r="C314" t="s">
        <v>39</v>
      </c>
      <c r="D314" t="s">
        <v>43</v>
      </c>
      <c r="E314" t="s">
        <v>44</v>
      </c>
      <c r="F314" t="s">
        <v>49</v>
      </c>
      <c r="G314">
        <v>9</v>
      </c>
      <c r="H314">
        <v>39071</v>
      </c>
      <c r="I314">
        <v>0</v>
      </c>
      <c r="J314" t="s">
        <v>50</v>
      </c>
      <c r="K314" t="s">
        <v>19</v>
      </c>
      <c r="L314" t="s">
        <v>37</v>
      </c>
      <c r="M314" t="s">
        <v>24</v>
      </c>
      <c r="N314">
        <v>351639</v>
      </c>
    </row>
    <row r="315" spans="1:14" x14ac:dyDescent="0.3">
      <c r="A315" t="s">
        <v>355</v>
      </c>
      <c r="B315" s="1">
        <v>44977</v>
      </c>
      <c r="C315" t="s">
        <v>26</v>
      </c>
      <c r="D315" t="s">
        <v>15</v>
      </c>
      <c r="E315" t="s">
        <v>44</v>
      </c>
      <c r="F315" t="s">
        <v>35</v>
      </c>
      <c r="G315">
        <v>7</v>
      </c>
      <c r="H315">
        <v>12397</v>
      </c>
      <c r="I315">
        <v>8677.9</v>
      </c>
      <c r="J315" t="s">
        <v>36</v>
      </c>
      <c r="K315" t="s">
        <v>19</v>
      </c>
      <c r="L315" t="s">
        <v>20</v>
      </c>
      <c r="M315" t="s">
        <v>33</v>
      </c>
      <c r="N315">
        <v>78101.100000000006</v>
      </c>
    </row>
    <row r="316" spans="1:14" x14ac:dyDescent="0.3">
      <c r="A316" t="s">
        <v>356</v>
      </c>
      <c r="B316" s="1">
        <v>45190</v>
      </c>
      <c r="C316" t="s">
        <v>32</v>
      </c>
      <c r="D316" t="s">
        <v>40</v>
      </c>
      <c r="E316" t="s">
        <v>44</v>
      </c>
      <c r="F316" t="s">
        <v>28</v>
      </c>
      <c r="G316">
        <v>9</v>
      </c>
      <c r="H316">
        <v>29711</v>
      </c>
      <c r="I316">
        <v>53479.8</v>
      </c>
      <c r="J316" t="s">
        <v>18</v>
      </c>
      <c r="K316" t="s">
        <v>41</v>
      </c>
      <c r="L316" t="s">
        <v>23</v>
      </c>
      <c r="M316" t="s">
        <v>33</v>
      </c>
      <c r="N316">
        <v>213919.2</v>
      </c>
    </row>
    <row r="317" spans="1:14" x14ac:dyDescent="0.3">
      <c r="A317" t="s">
        <v>357</v>
      </c>
      <c r="B317" s="1">
        <v>45209</v>
      </c>
      <c r="C317" t="s">
        <v>39</v>
      </c>
      <c r="D317" t="s">
        <v>15</v>
      </c>
      <c r="E317" t="s">
        <v>44</v>
      </c>
      <c r="F317" t="s">
        <v>47</v>
      </c>
      <c r="G317">
        <v>9</v>
      </c>
      <c r="H317">
        <v>15624</v>
      </c>
      <c r="I317">
        <v>14061.6</v>
      </c>
      <c r="J317" t="s">
        <v>36</v>
      </c>
      <c r="K317" t="s">
        <v>19</v>
      </c>
      <c r="L317" t="s">
        <v>37</v>
      </c>
      <c r="M317" t="s">
        <v>33</v>
      </c>
      <c r="N317">
        <v>126554.4</v>
      </c>
    </row>
    <row r="318" spans="1:14" x14ac:dyDescent="0.3">
      <c r="A318" t="s">
        <v>358</v>
      </c>
      <c r="B318" s="1">
        <v>44953</v>
      </c>
      <c r="C318" t="s">
        <v>46</v>
      </c>
      <c r="D318" t="s">
        <v>15</v>
      </c>
      <c r="E318" t="s">
        <v>27</v>
      </c>
      <c r="F318" t="s">
        <v>49</v>
      </c>
      <c r="G318">
        <v>3</v>
      </c>
      <c r="H318">
        <v>49021</v>
      </c>
      <c r="I318">
        <v>29412.600000000002</v>
      </c>
      <c r="J318" t="s">
        <v>29</v>
      </c>
      <c r="K318" t="s">
        <v>41</v>
      </c>
      <c r="L318" t="s">
        <v>37</v>
      </c>
      <c r="M318" t="s">
        <v>21</v>
      </c>
      <c r="N318">
        <v>117650.4</v>
      </c>
    </row>
    <row r="319" spans="1:14" x14ac:dyDescent="0.3">
      <c r="A319" t="s">
        <v>359</v>
      </c>
      <c r="B319" s="1">
        <v>45152</v>
      </c>
      <c r="C319" t="s">
        <v>32</v>
      </c>
      <c r="D319" t="s">
        <v>40</v>
      </c>
      <c r="E319" t="s">
        <v>27</v>
      </c>
      <c r="F319" t="s">
        <v>28</v>
      </c>
      <c r="G319">
        <v>4</v>
      </c>
      <c r="H319">
        <v>440</v>
      </c>
      <c r="I319">
        <v>264</v>
      </c>
      <c r="J319" t="s">
        <v>18</v>
      </c>
      <c r="K319" t="s">
        <v>41</v>
      </c>
      <c r="L319" t="s">
        <v>23</v>
      </c>
      <c r="M319" t="s">
        <v>24</v>
      </c>
      <c r="N319">
        <v>1496</v>
      </c>
    </row>
    <row r="320" spans="1:14" x14ac:dyDescent="0.3">
      <c r="A320" t="s">
        <v>360</v>
      </c>
      <c r="B320" s="1">
        <v>45203</v>
      </c>
      <c r="C320" t="s">
        <v>32</v>
      </c>
      <c r="D320" t="s">
        <v>43</v>
      </c>
      <c r="E320" t="s">
        <v>27</v>
      </c>
      <c r="F320" t="s">
        <v>28</v>
      </c>
      <c r="G320">
        <v>2</v>
      </c>
      <c r="H320">
        <v>4831</v>
      </c>
      <c r="I320">
        <v>966.2</v>
      </c>
      <c r="J320" t="s">
        <v>29</v>
      </c>
      <c r="K320" t="s">
        <v>19</v>
      </c>
      <c r="L320" t="s">
        <v>20</v>
      </c>
      <c r="M320" t="s">
        <v>24</v>
      </c>
      <c r="N320">
        <v>8695.7999999999993</v>
      </c>
    </row>
    <row r="321" spans="1:14" x14ac:dyDescent="0.3">
      <c r="A321" t="s">
        <v>361</v>
      </c>
      <c r="B321" s="1">
        <v>45212</v>
      </c>
      <c r="C321" t="s">
        <v>46</v>
      </c>
      <c r="D321" t="s">
        <v>43</v>
      </c>
      <c r="E321" t="s">
        <v>16</v>
      </c>
      <c r="F321" t="s">
        <v>47</v>
      </c>
      <c r="G321">
        <v>3</v>
      </c>
      <c r="H321">
        <v>9799</v>
      </c>
      <c r="I321">
        <v>2939.7000000000003</v>
      </c>
      <c r="J321" t="s">
        <v>29</v>
      </c>
      <c r="K321" t="s">
        <v>41</v>
      </c>
      <c r="L321" t="s">
        <v>20</v>
      </c>
      <c r="M321" t="s">
        <v>33</v>
      </c>
      <c r="N321">
        <v>26457.3</v>
      </c>
    </row>
    <row r="322" spans="1:14" x14ac:dyDescent="0.3">
      <c r="A322" t="s">
        <v>362</v>
      </c>
      <c r="B322" s="1">
        <v>45023</v>
      </c>
      <c r="C322" t="s">
        <v>14</v>
      </c>
      <c r="D322" t="s">
        <v>15</v>
      </c>
      <c r="E322" t="s">
        <v>27</v>
      </c>
      <c r="F322" t="s">
        <v>49</v>
      </c>
      <c r="G322">
        <v>5</v>
      </c>
      <c r="H322">
        <v>44662</v>
      </c>
      <c r="I322">
        <v>22331</v>
      </c>
      <c r="J322" t="s">
        <v>29</v>
      </c>
      <c r="K322" t="s">
        <v>41</v>
      </c>
      <c r="L322" t="s">
        <v>20</v>
      </c>
      <c r="M322" t="s">
        <v>24</v>
      </c>
      <c r="N322">
        <v>200979</v>
      </c>
    </row>
    <row r="323" spans="1:14" x14ac:dyDescent="0.3">
      <c r="A323" t="s">
        <v>363</v>
      </c>
      <c r="B323" s="1">
        <v>45210</v>
      </c>
      <c r="C323" t="s">
        <v>26</v>
      </c>
      <c r="D323" t="s">
        <v>40</v>
      </c>
      <c r="E323" t="s">
        <v>27</v>
      </c>
      <c r="F323" t="s">
        <v>28</v>
      </c>
      <c r="G323">
        <v>5</v>
      </c>
      <c r="H323">
        <v>24858</v>
      </c>
      <c r="I323">
        <v>18643.5</v>
      </c>
      <c r="J323" t="s">
        <v>29</v>
      </c>
      <c r="K323" t="s">
        <v>41</v>
      </c>
      <c r="L323" t="s">
        <v>23</v>
      </c>
      <c r="M323" t="s">
        <v>21</v>
      </c>
      <c r="N323">
        <v>105646.5</v>
      </c>
    </row>
    <row r="324" spans="1:14" x14ac:dyDescent="0.3">
      <c r="A324" t="s">
        <v>364</v>
      </c>
      <c r="B324" s="1">
        <v>45243</v>
      </c>
      <c r="C324" t="s">
        <v>14</v>
      </c>
      <c r="D324" t="s">
        <v>43</v>
      </c>
      <c r="E324" t="s">
        <v>27</v>
      </c>
      <c r="F324" t="s">
        <v>28</v>
      </c>
      <c r="G324">
        <v>6</v>
      </c>
      <c r="H324">
        <v>38045</v>
      </c>
      <c r="I324">
        <v>0</v>
      </c>
      <c r="J324" t="s">
        <v>29</v>
      </c>
      <c r="K324" t="s">
        <v>41</v>
      </c>
      <c r="L324" t="s">
        <v>37</v>
      </c>
      <c r="M324" t="s">
        <v>24</v>
      </c>
      <c r="N324">
        <v>228270</v>
      </c>
    </row>
    <row r="325" spans="1:14" x14ac:dyDescent="0.3">
      <c r="A325" t="s">
        <v>365</v>
      </c>
      <c r="B325" s="1">
        <v>45230</v>
      </c>
      <c r="C325" t="s">
        <v>39</v>
      </c>
      <c r="D325" t="s">
        <v>15</v>
      </c>
      <c r="E325" t="s">
        <v>44</v>
      </c>
      <c r="F325" t="s">
        <v>49</v>
      </c>
      <c r="G325">
        <v>7</v>
      </c>
      <c r="H325">
        <v>32774</v>
      </c>
      <c r="I325">
        <v>45883.600000000006</v>
      </c>
      <c r="J325" t="s">
        <v>18</v>
      </c>
      <c r="K325" t="s">
        <v>19</v>
      </c>
      <c r="L325" t="s">
        <v>23</v>
      </c>
      <c r="M325" t="s">
        <v>33</v>
      </c>
      <c r="N325">
        <v>183534.4</v>
      </c>
    </row>
    <row r="326" spans="1:14" x14ac:dyDescent="0.3">
      <c r="A326" t="s">
        <v>366</v>
      </c>
      <c r="B326" s="1">
        <v>45073</v>
      </c>
      <c r="C326" t="s">
        <v>46</v>
      </c>
      <c r="D326" t="s">
        <v>40</v>
      </c>
      <c r="E326" t="s">
        <v>27</v>
      </c>
      <c r="F326" t="s">
        <v>17</v>
      </c>
      <c r="G326">
        <v>7</v>
      </c>
      <c r="H326">
        <v>36736</v>
      </c>
      <c r="I326">
        <v>25715.200000000001</v>
      </c>
      <c r="J326" t="s">
        <v>36</v>
      </c>
      <c r="K326" t="s">
        <v>30</v>
      </c>
      <c r="L326" t="s">
        <v>20</v>
      </c>
      <c r="M326" t="s">
        <v>21</v>
      </c>
      <c r="N326">
        <v>231436.79999999999</v>
      </c>
    </row>
    <row r="327" spans="1:14" x14ac:dyDescent="0.3">
      <c r="A327" t="s">
        <v>367</v>
      </c>
      <c r="B327" s="1">
        <v>44930</v>
      </c>
      <c r="C327" t="s">
        <v>14</v>
      </c>
      <c r="D327" t="s">
        <v>43</v>
      </c>
      <c r="E327" t="s">
        <v>16</v>
      </c>
      <c r="F327" t="s">
        <v>28</v>
      </c>
      <c r="G327">
        <v>1</v>
      </c>
      <c r="H327">
        <v>42110</v>
      </c>
      <c r="I327">
        <v>6316.5</v>
      </c>
      <c r="J327" t="s">
        <v>18</v>
      </c>
      <c r="K327" t="s">
        <v>30</v>
      </c>
      <c r="L327" t="s">
        <v>23</v>
      </c>
      <c r="M327" t="s">
        <v>21</v>
      </c>
      <c r="N327">
        <v>35793.5</v>
      </c>
    </row>
    <row r="328" spans="1:14" x14ac:dyDescent="0.3">
      <c r="A328" t="s">
        <v>368</v>
      </c>
      <c r="B328" s="1">
        <v>44961</v>
      </c>
      <c r="C328" t="s">
        <v>32</v>
      </c>
      <c r="D328" t="s">
        <v>43</v>
      </c>
      <c r="E328" t="s">
        <v>44</v>
      </c>
      <c r="F328" t="s">
        <v>35</v>
      </c>
      <c r="G328">
        <v>2</v>
      </c>
      <c r="H328">
        <v>8195</v>
      </c>
      <c r="I328">
        <v>0</v>
      </c>
      <c r="J328" t="s">
        <v>18</v>
      </c>
      <c r="K328" t="s">
        <v>41</v>
      </c>
      <c r="L328" t="s">
        <v>37</v>
      </c>
      <c r="M328" t="s">
        <v>33</v>
      </c>
      <c r="N328">
        <v>16390</v>
      </c>
    </row>
    <row r="329" spans="1:14" x14ac:dyDescent="0.3">
      <c r="A329" t="s">
        <v>369</v>
      </c>
      <c r="B329" s="1">
        <v>45118</v>
      </c>
      <c r="C329" t="s">
        <v>39</v>
      </c>
      <c r="D329" t="s">
        <v>40</v>
      </c>
      <c r="E329" t="s">
        <v>16</v>
      </c>
      <c r="F329" t="s">
        <v>49</v>
      </c>
      <c r="G329">
        <v>9</v>
      </c>
      <c r="H329">
        <v>25386</v>
      </c>
      <c r="I329">
        <v>45694.8</v>
      </c>
      <c r="J329" t="s">
        <v>18</v>
      </c>
      <c r="K329" t="s">
        <v>41</v>
      </c>
      <c r="L329" t="s">
        <v>23</v>
      </c>
      <c r="M329" t="s">
        <v>24</v>
      </c>
      <c r="N329">
        <v>182779.2</v>
      </c>
    </row>
    <row r="330" spans="1:14" x14ac:dyDescent="0.3">
      <c r="A330" t="s">
        <v>370</v>
      </c>
      <c r="B330" s="1">
        <v>44975</v>
      </c>
      <c r="C330" t="s">
        <v>39</v>
      </c>
      <c r="D330" t="s">
        <v>40</v>
      </c>
      <c r="E330" t="s">
        <v>27</v>
      </c>
      <c r="F330" t="s">
        <v>28</v>
      </c>
      <c r="G330">
        <v>2</v>
      </c>
      <c r="H330">
        <v>29445</v>
      </c>
      <c r="I330">
        <v>8833.5</v>
      </c>
      <c r="J330" t="s">
        <v>50</v>
      </c>
      <c r="K330" t="s">
        <v>41</v>
      </c>
      <c r="L330" t="s">
        <v>20</v>
      </c>
      <c r="M330" t="s">
        <v>33</v>
      </c>
      <c r="N330">
        <v>50056.5</v>
      </c>
    </row>
    <row r="331" spans="1:14" x14ac:dyDescent="0.3">
      <c r="A331" t="s">
        <v>371</v>
      </c>
      <c r="B331" s="1">
        <v>44943</v>
      </c>
      <c r="C331" t="s">
        <v>14</v>
      </c>
      <c r="D331" t="s">
        <v>40</v>
      </c>
      <c r="E331" t="s">
        <v>44</v>
      </c>
      <c r="F331" t="s">
        <v>47</v>
      </c>
      <c r="G331">
        <v>6</v>
      </c>
      <c r="H331">
        <v>23013</v>
      </c>
      <c r="I331">
        <v>27615.600000000002</v>
      </c>
      <c r="J331" t="s">
        <v>50</v>
      </c>
      <c r="K331" t="s">
        <v>30</v>
      </c>
      <c r="L331" t="s">
        <v>37</v>
      </c>
      <c r="M331" t="s">
        <v>24</v>
      </c>
      <c r="N331">
        <v>110462.39999999999</v>
      </c>
    </row>
    <row r="332" spans="1:14" x14ac:dyDescent="0.3">
      <c r="A332" t="s">
        <v>372</v>
      </c>
      <c r="B332" s="1">
        <v>45098</v>
      </c>
      <c r="C332" t="s">
        <v>14</v>
      </c>
      <c r="D332" t="s">
        <v>40</v>
      </c>
      <c r="E332" t="s">
        <v>16</v>
      </c>
      <c r="F332" t="s">
        <v>35</v>
      </c>
      <c r="G332">
        <v>1</v>
      </c>
      <c r="H332">
        <v>13476</v>
      </c>
      <c r="I332">
        <v>1347.6000000000001</v>
      </c>
      <c r="J332" t="s">
        <v>18</v>
      </c>
      <c r="K332" t="s">
        <v>41</v>
      </c>
      <c r="L332" t="s">
        <v>23</v>
      </c>
      <c r="M332" t="s">
        <v>24</v>
      </c>
      <c r="N332">
        <v>12128.4</v>
      </c>
    </row>
    <row r="333" spans="1:14" x14ac:dyDescent="0.3">
      <c r="A333" t="s">
        <v>373</v>
      </c>
      <c r="B333" s="1">
        <v>45146</v>
      </c>
      <c r="C333" t="s">
        <v>46</v>
      </c>
      <c r="D333" t="s">
        <v>15</v>
      </c>
      <c r="E333" t="s">
        <v>27</v>
      </c>
      <c r="F333" t="s">
        <v>28</v>
      </c>
      <c r="G333">
        <v>3</v>
      </c>
      <c r="H333">
        <v>20189</v>
      </c>
      <c r="I333">
        <v>0</v>
      </c>
      <c r="J333" t="s">
        <v>36</v>
      </c>
      <c r="K333" t="s">
        <v>19</v>
      </c>
      <c r="L333" t="s">
        <v>23</v>
      </c>
      <c r="M333" t="s">
        <v>21</v>
      </c>
      <c r="N333">
        <v>60567</v>
      </c>
    </row>
    <row r="334" spans="1:14" x14ac:dyDescent="0.3">
      <c r="A334" t="s">
        <v>374</v>
      </c>
      <c r="B334" s="1">
        <v>45084</v>
      </c>
      <c r="C334" t="s">
        <v>26</v>
      </c>
      <c r="D334" t="s">
        <v>40</v>
      </c>
      <c r="E334" t="s">
        <v>16</v>
      </c>
      <c r="F334" t="s">
        <v>35</v>
      </c>
      <c r="G334">
        <v>2</v>
      </c>
      <c r="H334">
        <v>12946</v>
      </c>
      <c r="I334">
        <v>3883.7999999999997</v>
      </c>
      <c r="J334" t="s">
        <v>18</v>
      </c>
      <c r="K334" t="s">
        <v>19</v>
      </c>
      <c r="L334" t="s">
        <v>37</v>
      </c>
      <c r="M334" t="s">
        <v>33</v>
      </c>
      <c r="N334">
        <v>22008.2</v>
      </c>
    </row>
    <row r="335" spans="1:14" x14ac:dyDescent="0.3">
      <c r="A335" t="s">
        <v>375</v>
      </c>
      <c r="B335" s="1">
        <v>44972</v>
      </c>
      <c r="C335" t="s">
        <v>14</v>
      </c>
      <c r="D335" t="s">
        <v>43</v>
      </c>
      <c r="E335" t="s">
        <v>16</v>
      </c>
      <c r="F335" t="s">
        <v>35</v>
      </c>
      <c r="G335">
        <v>3</v>
      </c>
      <c r="H335">
        <v>44443</v>
      </c>
      <c r="I335">
        <v>0</v>
      </c>
      <c r="J335" t="s">
        <v>29</v>
      </c>
      <c r="K335" t="s">
        <v>19</v>
      </c>
      <c r="L335" t="s">
        <v>37</v>
      </c>
      <c r="M335" t="s">
        <v>21</v>
      </c>
      <c r="N335">
        <v>133329</v>
      </c>
    </row>
    <row r="336" spans="1:14" x14ac:dyDescent="0.3">
      <c r="A336" t="s">
        <v>376</v>
      </c>
      <c r="B336" s="1">
        <v>44932</v>
      </c>
      <c r="C336" t="s">
        <v>14</v>
      </c>
      <c r="D336" t="s">
        <v>43</v>
      </c>
      <c r="E336" t="s">
        <v>16</v>
      </c>
      <c r="F336" t="s">
        <v>17</v>
      </c>
      <c r="G336">
        <v>5</v>
      </c>
      <c r="H336">
        <v>18757</v>
      </c>
      <c r="I336">
        <v>9378.5</v>
      </c>
      <c r="J336" t="s">
        <v>50</v>
      </c>
      <c r="K336" t="s">
        <v>30</v>
      </c>
      <c r="L336" t="s">
        <v>20</v>
      </c>
      <c r="M336" t="s">
        <v>33</v>
      </c>
      <c r="N336">
        <v>84406.5</v>
      </c>
    </row>
    <row r="337" spans="1:14" x14ac:dyDescent="0.3">
      <c r="A337" t="s">
        <v>377</v>
      </c>
      <c r="B337" s="1">
        <v>45025</v>
      </c>
      <c r="C337" t="s">
        <v>32</v>
      </c>
      <c r="D337" t="s">
        <v>15</v>
      </c>
      <c r="E337" t="s">
        <v>27</v>
      </c>
      <c r="F337" t="s">
        <v>35</v>
      </c>
      <c r="G337">
        <v>6</v>
      </c>
      <c r="H337">
        <v>28260</v>
      </c>
      <c r="I337">
        <v>0</v>
      </c>
      <c r="J337" t="s">
        <v>50</v>
      </c>
      <c r="K337" t="s">
        <v>41</v>
      </c>
      <c r="L337" t="s">
        <v>37</v>
      </c>
      <c r="M337" t="s">
        <v>33</v>
      </c>
      <c r="N337">
        <v>169560</v>
      </c>
    </row>
    <row r="338" spans="1:14" x14ac:dyDescent="0.3">
      <c r="A338" t="s">
        <v>378</v>
      </c>
      <c r="B338" s="1">
        <v>45159</v>
      </c>
      <c r="C338" t="s">
        <v>39</v>
      </c>
      <c r="D338" t="s">
        <v>43</v>
      </c>
      <c r="E338" t="s">
        <v>27</v>
      </c>
      <c r="F338" t="s">
        <v>17</v>
      </c>
      <c r="G338">
        <v>9</v>
      </c>
      <c r="H338">
        <v>6768</v>
      </c>
      <c r="I338">
        <v>0</v>
      </c>
      <c r="J338" t="s">
        <v>18</v>
      </c>
      <c r="K338" t="s">
        <v>41</v>
      </c>
      <c r="L338" t="s">
        <v>20</v>
      </c>
      <c r="M338" t="s">
        <v>21</v>
      </c>
      <c r="N338">
        <v>60912</v>
      </c>
    </row>
    <row r="339" spans="1:14" x14ac:dyDescent="0.3">
      <c r="A339" t="s">
        <v>379</v>
      </c>
      <c r="B339" s="1">
        <v>44963</v>
      </c>
      <c r="C339" t="s">
        <v>26</v>
      </c>
      <c r="D339" t="s">
        <v>43</v>
      </c>
      <c r="E339" t="s">
        <v>16</v>
      </c>
      <c r="F339" t="s">
        <v>49</v>
      </c>
      <c r="G339">
        <v>4</v>
      </c>
      <c r="H339">
        <v>35569</v>
      </c>
      <c r="I339">
        <v>7113.8</v>
      </c>
      <c r="J339" t="s">
        <v>18</v>
      </c>
      <c r="K339" t="s">
        <v>41</v>
      </c>
      <c r="L339" t="s">
        <v>23</v>
      </c>
      <c r="M339" t="s">
        <v>33</v>
      </c>
      <c r="N339">
        <v>135162.19999999899</v>
      </c>
    </row>
    <row r="340" spans="1:14" x14ac:dyDescent="0.3">
      <c r="A340" t="s">
        <v>380</v>
      </c>
      <c r="B340" s="1">
        <v>45206</v>
      </c>
      <c r="C340" t="s">
        <v>32</v>
      </c>
      <c r="D340" t="s">
        <v>40</v>
      </c>
      <c r="E340" t="s">
        <v>44</v>
      </c>
      <c r="F340" t="s">
        <v>17</v>
      </c>
      <c r="G340">
        <v>7</v>
      </c>
      <c r="H340">
        <v>19241</v>
      </c>
      <c r="I340">
        <v>0</v>
      </c>
      <c r="J340" t="s">
        <v>36</v>
      </c>
      <c r="K340" t="s">
        <v>30</v>
      </c>
      <c r="L340" t="s">
        <v>20</v>
      </c>
      <c r="M340" t="s">
        <v>33</v>
      </c>
      <c r="N340">
        <v>134687</v>
      </c>
    </row>
    <row r="341" spans="1:14" x14ac:dyDescent="0.3">
      <c r="A341" t="s">
        <v>381</v>
      </c>
      <c r="B341" s="1">
        <v>45275</v>
      </c>
      <c r="C341" t="s">
        <v>46</v>
      </c>
      <c r="D341" t="s">
        <v>43</v>
      </c>
      <c r="E341" t="s">
        <v>44</v>
      </c>
      <c r="F341" t="s">
        <v>47</v>
      </c>
      <c r="G341">
        <v>6</v>
      </c>
      <c r="H341">
        <v>6280</v>
      </c>
      <c r="I341">
        <v>7536</v>
      </c>
      <c r="J341" t="s">
        <v>36</v>
      </c>
      <c r="K341" t="s">
        <v>30</v>
      </c>
      <c r="L341" t="s">
        <v>23</v>
      </c>
      <c r="M341" t="s">
        <v>24</v>
      </c>
      <c r="N341">
        <v>30144</v>
      </c>
    </row>
    <row r="342" spans="1:14" x14ac:dyDescent="0.3">
      <c r="A342" t="s">
        <v>382</v>
      </c>
      <c r="B342" s="1">
        <v>45228</v>
      </c>
      <c r="C342" t="s">
        <v>46</v>
      </c>
      <c r="D342" t="s">
        <v>15</v>
      </c>
      <c r="E342" t="s">
        <v>27</v>
      </c>
      <c r="F342" t="s">
        <v>28</v>
      </c>
      <c r="G342">
        <v>2</v>
      </c>
      <c r="H342">
        <v>14054</v>
      </c>
      <c r="I342">
        <v>4216.2</v>
      </c>
      <c r="J342" t="s">
        <v>29</v>
      </c>
      <c r="K342" t="s">
        <v>30</v>
      </c>
      <c r="L342" t="s">
        <v>37</v>
      </c>
      <c r="M342" t="s">
        <v>33</v>
      </c>
      <c r="N342">
        <v>23891.8</v>
      </c>
    </row>
    <row r="343" spans="1:14" x14ac:dyDescent="0.3">
      <c r="A343" t="s">
        <v>383</v>
      </c>
      <c r="B343" s="1">
        <v>45107</v>
      </c>
      <c r="C343" t="s">
        <v>14</v>
      </c>
      <c r="D343" t="s">
        <v>40</v>
      </c>
      <c r="E343" t="s">
        <v>27</v>
      </c>
      <c r="F343" t="s">
        <v>49</v>
      </c>
      <c r="G343">
        <v>8</v>
      </c>
      <c r="H343">
        <v>2359</v>
      </c>
      <c r="I343">
        <v>943.6</v>
      </c>
      <c r="J343" t="s">
        <v>18</v>
      </c>
      <c r="K343" t="s">
        <v>30</v>
      </c>
      <c r="L343" t="s">
        <v>23</v>
      </c>
      <c r="M343" t="s">
        <v>33</v>
      </c>
      <c r="N343">
        <v>17928.3999999999</v>
      </c>
    </row>
    <row r="344" spans="1:14" x14ac:dyDescent="0.3">
      <c r="A344" t="s">
        <v>384</v>
      </c>
      <c r="B344" s="1">
        <v>45021</v>
      </c>
      <c r="C344" t="s">
        <v>14</v>
      </c>
      <c r="D344" t="s">
        <v>40</v>
      </c>
      <c r="E344" t="s">
        <v>27</v>
      </c>
      <c r="F344" t="s">
        <v>49</v>
      </c>
      <c r="G344">
        <v>7</v>
      </c>
      <c r="H344">
        <v>27225</v>
      </c>
      <c r="I344">
        <v>28586.25</v>
      </c>
      <c r="J344" t="s">
        <v>18</v>
      </c>
      <c r="K344" t="s">
        <v>19</v>
      </c>
      <c r="L344" t="s">
        <v>37</v>
      </c>
      <c r="M344" t="s">
        <v>21</v>
      </c>
      <c r="N344">
        <v>161988.75</v>
      </c>
    </row>
    <row r="345" spans="1:14" x14ac:dyDescent="0.3">
      <c r="A345" t="s">
        <v>385</v>
      </c>
      <c r="B345" s="1">
        <v>45025</v>
      </c>
      <c r="C345" t="s">
        <v>46</v>
      </c>
      <c r="D345" t="s">
        <v>15</v>
      </c>
      <c r="E345" t="s">
        <v>27</v>
      </c>
      <c r="F345" t="s">
        <v>47</v>
      </c>
      <c r="G345">
        <v>7</v>
      </c>
      <c r="H345">
        <v>41281</v>
      </c>
      <c r="I345">
        <v>43345.049999999996</v>
      </c>
      <c r="J345" t="s">
        <v>18</v>
      </c>
      <c r="K345" t="s">
        <v>30</v>
      </c>
      <c r="L345" t="s">
        <v>23</v>
      </c>
      <c r="M345" t="s">
        <v>21</v>
      </c>
      <c r="N345">
        <v>245621.94999999899</v>
      </c>
    </row>
    <row r="346" spans="1:14" x14ac:dyDescent="0.3">
      <c r="A346" t="s">
        <v>386</v>
      </c>
      <c r="B346" s="1">
        <v>45114</v>
      </c>
      <c r="C346" t="s">
        <v>14</v>
      </c>
      <c r="D346" t="s">
        <v>40</v>
      </c>
      <c r="E346" t="s">
        <v>27</v>
      </c>
      <c r="F346" t="s">
        <v>17</v>
      </c>
      <c r="G346">
        <v>8</v>
      </c>
      <c r="H346">
        <v>4568</v>
      </c>
      <c r="I346">
        <v>3654.4</v>
      </c>
      <c r="J346" t="s">
        <v>50</v>
      </c>
      <c r="K346" t="s">
        <v>30</v>
      </c>
      <c r="L346" t="s">
        <v>23</v>
      </c>
      <c r="M346" t="s">
        <v>33</v>
      </c>
      <c r="N346">
        <v>32889.599999999999</v>
      </c>
    </row>
    <row r="347" spans="1:14" x14ac:dyDescent="0.3">
      <c r="A347" t="s">
        <v>387</v>
      </c>
      <c r="B347" s="1">
        <v>45042</v>
      </c>
      <c r="C347" t="s">
        <v>26</v>
      </c>
      <c r="D347" t="s">
        <v>40</v>
      </c>
      <c r="E347" t="s">
        <v>44</v>
      </c>
      <c r="F347" t="s">
        <v>28</v>
      </c>
      <c r="G347">
        <v>1</v>
      </c>
      <c r="H347">
        <v>34285</v>
      </c>
      <c r="I347">
        <v>3428.5</v>
      </c>
      <c r="J347" t="s">
        <v>29</v>
      </c>
      <c r="K347" t="s">
        <v>30</v>
      </c>
      <c r="L347" t="s">
        <v>23</v>
      </c>
      <c r="M347" t="s">
        <v>24</v>
      </c>
      <c r="N347">
        <v>30856.5</v>
      </c>
    </row>
    <row r="348" spans="1:14" x14ac:dyDescent="0.3">
      <c r="A348" t="s">
        <v>388</v>
      </c>
      <c r="B348" s="1">
        <v>45117</v>
      </c>
      <c r="C348" t="s">
        <v>14</v>
      </c>
      <c r="D348" t="s">
        <v>15</v>
      </c>
      <c r="E348" t="s">
        <v>27</v>
      </c>
      <c r="F348" t="s">
        <v>17</v>
      </c>
      <c r="G348">
        <v>1</v>
      </c>
      <c r="H348">
        <v>27294</v>
      </c>
      <c r="I348">
        <v>1364.7</v>
      </c>
      <c r="J348" t="s">
        <v>36</v>
      </c>
      <c r="K348" t="s">
        <v>41</v>
      </c>
      <c r="L348" t="s">
        <v>23</v>
      </c>
      <c r="M348" t="s">
        <v>24</v>
      </c>
      <c r="N348">
        <v>25929.3</v>
      </c>
    </row>
    <row r="349" spans="1:14" x14ac:dyDescent="0.3">
      <c r="A349" t="s">
        <v>389</v>
      </c>
      <c r="B349" s="1">
        <v>45179</v>
      </c>
      <c r="C349" t="s">
        <v>39</v>
      </c>
      <c r="D349" t="s">
        <v>40</v>
      </c>
      <c r="E349" t="s">
        <v>16</v>
      </c>
      <c r="F349" t="s">
        <v>35</v>
      </c>
      <c r="G349">
        <v>8</v>
      </c>
      <c r="H349">
        <v>46240</v>
      </c>
      <c r="I349">
        <v>36992</v>
      </c>
      <c r="J349" t="s">
        <v>50</v>
      </c>
      <c r="K349" t="s">
        <v>41</v>
      </c>
      <c r="L349" t="s">
        <v>20</v>
      </c>
      <c r="M349" t="s">
        <v>21</v>
      </c>
      <c r="N349">
        <v>332928</v>
      </c>
    </row>
    <row r="350" spans="1:14" x14ac:dyDescent="0.3">
      <c r="A350" t="s">
        <v>390</v>
      </c>
      <c r="B350" s="1">
        <v>45087</v>
      </c>
      <c r="C350" t="s">
        <v>14</v>
      </c>
      <c r="D350" t="s">
        <v>15</v>
      </c>
      <c r="E350" t="s">
        <v>16</v>
      </c>
      <c r="F350" t="s">
        <v>17</v>
      </c>
      <c r="G350">
        <v>4</v>
      </c>
      <c r="H350">
        <v>1430</v>
      </c>
      <c r="I350">
        <v>572</v>
      </c>
      <c r="J350" t="s">
        <v>50</v>
      </c>
      <c r="K350" t="s">
        <v>41</v>
      </c>
      <c r="L350" t="s">
        <v>23</v>
      </c>
      <c r="M350" t="s">
        <v>33</v>
      </c>
      <c r="N350">
        <v>5148</v>
      </c>
    </row>
    <row r="351" spans="1:14" x14ac:dyDescent="0.3">
      <c r="A351" t="s">
        <v>391</v>
      </c>
      <c r="B351" s="1">
        <v>45182</v>
      </c>
      <c r="C351" t="s">
        <v>32</v>
      </c>
      <c r="D351" t="s">
        <v>15</v>
      </c>
      <c r="E351" t="s">
        <v>44</v>
      </c>
      <c r="F351" t="s">
        <v>49</v>
      </c>
      <c r="G351">
        <v>5</v>
      </c>
      <c r="H351">
        <v>17717</v>
      </c>
      <c r="I351">
        <v>8858.5</v>
      </c>
      <c r="J351" t="s">
        <v>50</v>
      </c>
      <c r="K351" t="s">
        <v>19</v>
      </c>
      <c r="L351" t="s">
        <v>20</v>
      </c>
      <c r="M351" t="s">
        <v>33</v>
      </c>
      <c r="N351">
        <v>79726.5</v>
      </c>
    </row>
    <row r="352" spans="1:14" x14ac:dyDescent="0.3">
      <c r="A352" t="s">
        <v>392</v>
      </c>
      <c r="B352" s="1">
        <v>45249</v>
      </c>
      <c r="C352" t="s">
        <v>26</v>
      </c>
      <c r="D352" t="s">
        <v>43</v>
      </c>
      <c r="E352" t="s">
        <v>16</v>
      </c>
      <c r="F352" t="s">
        <v>28</v>
      </c>
      <c r="G352">
        <v>8</v>
      </c>
      <c r="H352">
        <v>24191</v>
      </c>
      <c r="I352">
        <v>29029.200000000001</v>
      </c>
      <c r="J352" t="s">
        <v>50</v>
      </c>
      <c r="K352" t="s">
        <v>19</v>
      </c>
      <c r="L352" t="s">
        <v>37</v>
      </c>
      <c r="M352" t="s">
        <v>24</v>
      </c>
      <c r="N352">
        <v>164498.79999999999</v>
      </c>
    </row>
    <row r="353" spans="1:14" x14ac:dyDescent="0.3">
      <c r="A353" t="s">
        <v>393</v>
      </c>
      <c r="B353" s="1">
        <v>45054</v>
      </c>
      <c r="C353" t="s">
        <v>32</v>
      </c>
      <c r="D353" t="s">
        <v>43</v>
      </c>
      <c r="E353" t="s">
        <v>44</v>
      </c>
      <c r="F353" t="s">
        <v>17</v>
      </c>
      <c r="G353">
        <v>5</v>
      </c>
      <c r="H353">
        <v>1501</v>
      </c>
      <c r="I353">
        <v>375.25</v>
      </c>
      <c r="J353" t="s">
        <v>29</v>
      </c>
      <c r="K353" t="s">
        <v>30</v>
      </c>
      <c r="L353" t="s">
        <v>37</v>
      </c>
      <c r="M353" t="s">
        <v>24</v>
      </c>
      <c r="N353">
        <v>7129.75</v>
      </c>
    </row>
    <row r="354" spans="1:14" x14ac:dyDescent="0.3">
      <c r="A354" t="s">
        <v>394</v>
      </c>
      <c r="B354" s="1">
        <v>44944</v>
      </c>
      <c r="C354" t="s">
        <v>32</v>
      </c>
      <c r="D354" t="s">
        <v>40</v>
      </c>
      <c r="E354" t="s">
        <v>44</v>
      </c>
      <c r="F354" t="s">
        <v>28</v>
      </c>
      <c r="G354">
        <v>4</v>
      </c>
      <c r="H354">
        <v>28810</v>
      </c>
      <c r="I354">
        <v>17286</v>
      </c>
      <c r="J354" t="s">
        <v>18</v>
      </c>
      <c r="K354" t="s">
        <v>41</v>
      </c>
      <c r="L354" t="s">
        <v>20</v>
      </c>
      <c r="M354" t="s">
        <v>24</v>
      </c>
      <c r="N354">
        <v>97954</v>
      </c>
    </row>
    <row r="355" spans="1:14" x14ac:dyDescent="0.3">
      <c r="A355" t="s">
        <v>395</v>
      </c>
      <c r="B355" s="1">
        <v>45207</v>
      </c>
      <c r="C355" t="s">
        <v>39</v>
      </c>
      <c r="D355" t="s">
        <v>40</v>
      </c>
      <c r="E355" t="s">
        <v>16</v>
      </c>
      <c r="F355" t="s">
        <v>28</v>
      </c>
      <c r="G355">
        <v>6</v>
      </c>
      <c r="H355">
        <v>16127</v>
      </c>
      <c r="I355">
        <v>19352.400000000001</v>
      </c>
      <c r="J355" t="s">
        <v>36</v>
      </c>
      <c r="K355" t="s">
        <v>19</v>
      </c>
      <c r="L355" t="s">
        <v>37</v>
      </c>
      <c r="M355" t="s">
        <v>21</v>
      </c>
      <c r="N355">
        <v>77409.600000000006</v>
      </c>
    </row>
    <row r="356" spans="1:14" x14ac:dyDescent="0.3">
      <c r="A356" t="s">
        <v>396</v>
      </c>
      <c r="B356" s="1">
        <v>45149</v>
      </c>
      <c r="C356" t="s">
        <v>26</v>
      </c>
      <c r="D356" t="s">
        <v>15</v>
      </c>
      <c r="E356" t="s">
        <v>27</v>
      </c>
      <c r="F356" t="s">
        <v>35</v>
      </c>
      <c r="G356">
        <v>5</v>
      </c>
      <c r="H356">
        <v>34878</v>
      </c>
      <c r="I356">
        <v>26158.5</v>
      </c>
      <c r="J356" t="s">
        <v>36</v>
      </c>
      <c r="K356" t="s">
        <v>41</v>
      </c>
      <c r="L356" t="s">
        <v>37</v>
      </c>
      <c r="M356" t="s">
        <v>33</v>
      </c>
      <c r="N356">
        <v>148231.5</v>
      </c>
    </row>
    <row r="357" spans="1:14" x14ac:dyDescent="0.3">
      <c r="A357" t="s">
        <v>397</v>
      </c>
      <c r="B357" s="1">
        <v>44980</v>
      </c>
      <c r="C357" t="s">
        <v>26</v>
      </c>
      <c r="D357" t="s">
        <v>40</v>
      </c>
      <c r="E357" t="s">
        <v>16</v>
      </c>
      <c r="F357" t="s">
        <v>35</v>
      </c>
      <c r="G357">
        <v>7</v>
      </c>
      <c r="H357">
        <v>24666</v>
      </c>
      <c r="I357">
        <v>34532.400000000001</v>
      </c>
      <c r="J357" t="s">
        <v>50</v>
      </c>
      <c r="K357" t="s">
        <v>19</v>
      </c>
      <c r="L357" t="s">
        <v>23</v>
      </c>
      <c r="M357" t="s">
        <v>21</v>
      </c>
      <c r="N357">
        <v>138129.60000000001</v>
      </c>
    </row>
    <row r="358" spans="1:14" x14ac:dyDescent="0.3">
      <c r="A358" t="s">
        <v>398</v>
      </c>
      <c r="B358" s="1">
        <v>44984</v>
      </c>
      <c r="C358" t="s">
        <v>26</v>
      </c>
      <c r="D358" t="s">
        <v>15</v>
      </c>
      <c r="E358" t="s">
        <v>16</v>
      </c>
      <c r="F358" t="s">
        <v>49</v>
      </c>
      <c r="G358">
        <v>7</v>
      </c>
      <c r="H358">
        <v>15104</v>
      </c>
      <c r="I358">
        <v>0</v>
      </c>
      <c r="J358" t="s">
        <v>50</v>
      </c>
      <c r="K358" t="s">
        <v>19</v>
      </c>
      <c r="L358" t="s">
        <v>23</v>
      </c>
      <c r="M358" t="s">
        <v>33</v>
      </c>
      <c r="N358">
        <v>105728</v>
      </c>
    </row>
    <row r="359" spans="1:14" x14ac:dyDescent="0.3">
      <c r="A359" t="s">
        <v>399</v>
      </c>
      <c r="B359" s="1">
        <v>45249</v>
      </c>
      <c r="C359" t="s">
        <v>26</v>
      </c>
      <c r="D359" t="s">
        <v>15</v>
      </c>
      <c r="E359" t="s">
        <v>44</v>
      </c>
      <c r="F359" t="s">
        <v>47</v>
      </c>
      <c r="G359">
        <v>4</v>
      </c>
      <c r="H359">
        <v>41075</v>
      </c>
      <c r="I359">
        <v>0</v>
      </c>
      <c r="J359" t="s">
        <v>29</v>
      </c>
      <c r="K359" t="s">
        <v>30</v>
      </c>
      <c r="L359" t="s">
        <v>23</v>
      </c>
      <c r="M359" t="s">
        <v>21</v>
      </c>
      <c r="N359">
        <v>164300</v>
      </c>
    </row>
    <row r="360" spans="1:14" x14ac:dyDescent="0.3">
      <c r="A360" t="s">
        <v>400</v>
      </c>
      <c r="B360" s="1">
        <v>45286</v>
      </c>
      <c r="C360" t="s">
        <v>26</v>
      </c>
      <c r="D360" t="s">
        <v>40</v>
      </c>
      <c r="E360" t="s">
        <v>16</v>
      </c>
      <c r="F360" t="s">
        <v>28</v>
      </c>
      <c r="G360">
        <v>5</v>
      </c>
      <c r="H360">
        <v>26281</v>
      </c>
      <c r="I360">
        <v>26281</v>
      </c>
      <c r="J360" t="s">
        <v>50</v>
      </c>
      <c r="K360" t="s">
        <v>30</v>
      </c>
      <c r="L360" t="s">
        <v>20</v>
      </c>
      <c r="M360" t="s">
        <v>33</v>
      </c>
      <c r="N360">
        <v>105124</v>
      </c>
    </row>
    <row r="361" spans="1:14" x14ac:dyDescent="0.3">
      <c r="A361" t="s">
        <v>401</v>
      </c>
      <c r="B361" s="1">
        <v>45100</v>
      </c>
      <c r="C361" t="s">
        <v>39</v>
      </c>
      <c r="D361" t="s">
        <v>15</v>
      </c>
      <c r="E361" t="s">
        <v>44</v>
      </c>
      <c r="F361" t="s">
        <v>47</v>
      </c>
      <c r="G361">
        <v>3</v>
      </c>
      <c r="H361">
        <v>24554</v>
      </c>
      <c r="I361">
        <v>14732.400000000001</v>
      </c>
      <c r="J361" t="s">
        <v>36</v>
      </c>
      <c r="K361" t="s">
        <v>19</v>
      </c>
      <c r="L361" t="s">
        <v>20</v>
      </c>
      <c r="M361" t="s">
        <v>24</v>
      </c>
      <c r="N361">
        <v>58929.599999999999</v>
      </c>
    </row>
    <row r="362" spans="1:14" x14ac:dyDescent="0.3">
      <c r="A362" t="s">
        <v>402</v>
      </c>
      <c r="B362" s="1">
        <v>45206</v>
      </c>
      <c r="C362" t="s">
        <v>14</v>
      </c>
      <c r="D362" t="s">
        <v>43</v>
      </c>
      <c r="E362" t="s">
        <v>27</v>
      </c>
      <c r="F362" t="s">
        <v>49</v>
      </c>
      <c r="G362">
        <v>4</v>
      </c>
      <c r="H362">
        <v>27961</v>
      </c>
      <c r="I362">
        <v>16776.599999999999</v>
      </c>
      <c r="J362" t="s">
        <v>36</v>
      </c>
      <c r="K362" t="s">
        <v>30</v>
      </c>
      <c r="L362" t="s">
        <v>37</v>
      </c>
      <c r="M362" t="s">
        <v>24</v>
      </c>
      <c r="N362">
        <v>95067.4</v>
      </c>
    </row>
    <row r="363" spans="1:14" x14ac:dyDescent="0.3">
      <c r="A363" t="s">
        <v>403</v>
      </c>
      <c r="B363" s="1">
        <v>45040</v>
      </c>
      <c r="C363" t="s">
        <v>32</v>
      </c>
      <c r="D363" t="s">
        <v>40</v>
      </c>
      <c r="E363" t="s">
        <v>27</v>
      </c>
      <c r="F363" t="s">
        <v>28</v>
      </c>
      <c r="G363">
        <v>4</v>
      </c>
      <c r="H363">
        <v>18500</v>
      </c>
      <c r="I363">
        <v>14800</v>
      </c>
      <c r="J363" t="s">
        <v>18</v>
      </c>
      <c r="K363" t="s">
        <v>19</v>
      </c>
      <c r="L363" t="s">
        <v>23</v>
      </c>
      <c r="M363" t="s">
        <v>24</v>
      </c>
      <c r="N363">
        <v>59200</v>
      </c>
    </row>
    <row r="364" spans="1:14" x14ac:dyDescent="0.3">
      <c r="A364" t="s">
        <v>404</v>
      </c>
      <c r="B364" s="1">
        <v>45214</v>
      </c>
      <c r="C364" t="s">
        <v>26</v>
      </c>
      <c r="D364" t="s">
        <v>43</v>
      </c>
      <c r="E364" t="s">
        <v>27</v>
      </c>
      <c r="F364" t="s">
        <v>28</v>
      </c>
      <c r="G364">
        <v>3</v>
      </c>
      <c r="H364">
        <v>29691</v>
      </c>
      <c r="I364">
        <v>4453.6500000000005</v>
      </c>
      <c r="J364" t="s">
        <v>18</v>
      </c>
      <c r="K364" t="s">
        <v>19</v>
      </c>
      <c r="L364" t="s">
        <v>20</v>
      </c>
      <c r="M364" t="s">
        <v>21</v>
      </c>
      <c r="N364">
        <v>84619.349999999904</v>
      </c>
    </row>
    <row r="365" spans="1:14" x14ac:dyDescent="0.3">
      <c r="A365" t="s">
        <v>405</v>
      </c>
      <c r="B365" s="1">
        <v>45268</v>
      </c>
      <c r="C365" t="s">
        <v>14</v>
      </c>
      <c r="D365" t="s">
        <v>40</v>
      </c>
      <c r="E365" t="s">
        <v>16</v>
      </c>
      <c r="F365" t="s">
        <v>47</v>
      </c>
      <c r="G365">
        <v>5</v>
      </c>
      <c r="H365">
        <v>35725</v>
      </c>
      <c r="I365">
        <v>0</v>
      </c>
      <c r="J365" t="s">
        <v>36</v>
      </c>
      <c r="K365" t="s">
        <v>41</v>
      </c>
      <c r="L365" t="s">
        <v>20</v>
      </c>
      <c r="M365" t="s">
        <v>24</v>
      </c>
      <c r="N365">
        <v>178625</v>
      </c>
    </row>
    <row r="366" spans="1:14" x14ac:dyDescent="0.3">
      <c r="A366" t="s">
        <v>406</v>
      </c>
      <c r="B366" s="1">
        <v>45077</v>
      </c>
      <c r="C366" t="s">
        <v>14</v>
      </c>
      <c r="D366" t="s">
        <v>15</v>
      </c>
      <c r="E366" t="s">
        <v>44</v>
      </c>
      <c r="F366" t="s">
        <v>17</v>
      </c>
      <c r="G366">
        <v>5</v>
      </c>
      <c r="H366">
        <v>26732</v>
      </c>
      <c r="I366">
        <v>0</v>
      </c>
      <c r="J366" t="s">
        <v>36</v>
      </c>
      <c r="K366" t="s">
        <v>30</v>
      </c>
      <c r="L366" t="s">
        <v>23</v>
      </c>
      <c r="M366" t="s">
        <v>33</v>
      </c>
      <c r="N366">
        <v>133660</v>
      </c>
    </row>
    <row r="367" spans="1:14" x14ac:dyDescent="0.3">
      <c r="A367" t="s">
        <v>407</v>
      </c>
      <c r="B367" s="1">
        <v>45053</v>
      </c>
      <c r="C367" t="s">
        <v>32</v>
      </c>
      <c r="D367" t="s">
        <v>40</v>
      </c>
      <c r="E367" t="s">
        <v>27</v>
      </c>
      <c r="F367" t="s">
        <v>35</v>
      </c>
      <c r="G367">
        <v>7</v>
      </c>
      <c r="H367">
        <v>6664</v>
      </c>
      <c r="I367">
        <v>9329.6</v>
      </c>
      <c r="J367" t="s">
        <v>29</v>
      </c>
      <c r="K367" t="s">
        <v>30</v>
      </c>
      <c r="L367" t="s">
        <v>20</v>
      </c>
      <c r="M367" t="s">
        <v>21</v>
      </c>
      <c r="N367">
        <v>37318.400000000001</v>
      </c>
    </row>
    <row r="368" spans="1:14" x14ac:dyDescent="0.3">
      <c r="A368" t="s">
        <v>408</v>
      </c>
      <c r="B368" s="1">
        <v>45081</v>
      </c>
      <c r="C368" t="s">
        <v>39</v>
      </c>
      <c r="D368" t="s">
        <v>43</v>
      </c>
      <c r="E368" t="s">
        <v>44</v>
      </c>
      <c r="F368" t="s">
        <v>17</v>
      </c>
      <c r="G368">
        <v>4</v>
      </c>
      <c r="H368">
        <v>16762</v>
      </c>
      <c r="I368">
        <v>6704.8</v>
      </c>
      <c r="J368" t="s">
        <v>29</v>
      </c>
      <c r="K368" t="s">
        <v>30</v>
      </c>
      <c r="L368" t="s">
        <v>23</v>
      </c>
      <c r="M368" t="s">
        <v>33</v>
      </c>
      <c r="N368">
        <v>60343.199999999997</v>
      </c>
    </row>
    <row r="369" spans="1:14" x14ac:dyDescent="0.3">
      <c r="A369" t="s">
        <v>409</v>
      </c>
      <c r="B369" s="1">
        <v>45199</v>
      </c>
      <c r="C369" t="s">
        <v>46</v>
      </c>
      <c r="D369" t="s">
        <v>15</v>
      </c>
      <c r="E369" t="s">
        <v>44</v>
      </c>
      <c r="F369" t="s">
        <v>47</v>
      </c>
      <c r="G369">
        <v>4</v>
      </c>
      <c r="H369">
        <v>42056</v>
      </c>
      <c r="I369">
        <v>16822.400000000001</v>
      </c>
      <c r="J369" t="s">
        <v>36</v>
      </c>
      <c r="K369" t="s">
        <v>41</v>
      </c>
      <c r="L369" t="s">
        <v>37</v>
      </c>
      <c r="M369" t="s">
        <v>21</v>
      </c>
      <c r="N369">
        <v>151401.60000000001</v>
      </c>
    </row>
    <row r="370" spans="1:14" x14ac:dyDescent="0.3">
      <c r="A370" t="s">
        <v>410</v>
      </c>
      <c r="B370" s="1">
        <v>45030</v>
      </c>
      <c r="C370" t="s">
        <v>46</v>
      </c>
      <c r="D370" t="s">
        <v>40</v>
      </c>
      <c r="E370" t="s">
        <v>27</v>
      </c>
      <c r="F370" t="s">
        <v>35</v>
      </c>
      <c r="G370">
        <v>9</v>
      </c>
      <c r="H370">
        <v>48092</v>
      </c>
      <c r="I370">
        <v>86565.6</v>
      </c>
      <c r="J370" t="s">
        <v>50</v>
      </c>
      <c r="K370" t="s">
        <v>41</v>
      </c>
      <c r="L370" t="s">
        <v>37</v>
      </c>
      <c r="M370" t="s">
        <v>33</v>
      </c>
      <c r="N370">
        <v>346262.4</v>
      </c>
    </row>
    <row r="371" spans="1:14" x14ac:dyDescent="0.3">
      <c r="A371" t="s">
        <v>411</v>
      </c>
      <c r="B371" s="1">
        <v>45225</v>
      </c>
      <c r="C371" t="s">
        <v>14</v>
      </c>
      <c r="D371" t="s">
        <v>40</v>
      </c>
      <c r="E371" t="s">
        <v>27</v>
      </c>
      <c r="F371" t="s">
        <v>17</v>
      </c>
      <c r="G371">
        <v>6</v>
      </c>
      <c r="H371">
        <v>47228</v>
      </c>
      <c r="I371">
        <v>14168.400000000001</v>
      </c>
      <c r="J371" t="s">
        <v>18</v>
      </c>
      <c r="K371" t="s">
        <v>41</v>
      </c>
      <c r="L371" t="s">
        <v>37</v>
      </c>
      <c r="M371" t="s">
        <v>33</v>
      </c>
      <c r="N371">
        <v>269199.59999999998</v>
      </c>
    </row>
    <row r="372" spans="1:14" x14ac:dyDescent="0.3">
      <c r="A372" t="s">
        <v>412</v>
      </c>
      <c r="B372" s="1">
        <v>45172</v>
      </c>
      <c r="C372" t="s">
        <v>32</v>
      </c>
      <c r="D372" t="s">
        <v>40</v>
      </c>
      <c r="E372" t="s">
        <v>44</v>
      </c>
      <c r="F372" t="s">
        <v>35</v>
      </c>
      <c r="G372">
        <v>4</v>
      </c>
      <c r="H372">
        <v>42711</v>
      </c>
      <c r="I372">
        <v>17084.400000000001</v>
      </c>
      <c r="J372" t="s">
        <v>36</v>
      </c>
      <c r="K372" t="s">
        <v>30</v>
      </c>
      <c r="L372" t="s">
        <v>23</v>
      </c>
      <c r="M372" t="s">
        <v>21</v>
      </c>
      <c r="N372">
        <v>153759.6</v>
      </c>
    </row>
    <row r="373" spans="1:14" x14ac:dyDescent="0.3">
      <c r="A373" t="s">
        <v>413</v>
      </c>
      <c r="B373" s="1">
        <v>45102</v>
      </c>
      <c r="C373" t="s">
        <v>46</v>
      </c>
      <c r="D373" t="s">
        <v>43</v>
      </c>
      <c r="E373" t="s">
        <v>27</v>
      </c>
      <c r="F373" t="s">
        <v>28</v>
      </c>
      <c r="G373">
        <v>2</v>
      </c>
      <c r="H373">
        <v>8883</v>
      </c>
      <c r="I373">
        <v>3553.2000000000003</v>
      </c>
      <c r="J373" t="s">
        <v>50</v>
      </c>
      <c r="K373" t="s">
        <v>30</v>
      </c>
      <c r="L373" t="s">
        <v>20</v>
      </c>
      <c r="M373" t="s">
        <v>21</v>
      </c>
      <c r="N373">
        <v>14212.8</v>
      </c>
    </row>
    <row r="374" spans="1:14" x14ac:dyDescent="0.3">
      <c r="A374" t="s">
        <v>414</v>
      </c>
      <c r="B374" s="1">
        <v>44965</v>
      </c>
      <c r="C374" t="s">
        <v>14</v>
      </c>
      <c r="D374" t="s">
        <v>43</v>
      </c>
      <c r="E374" t="s">
        <v>44</v>
      </c>
      <c r="F374" t="s">
        <v>17</v>
      </c>
      <c r="G374">
        <v>6</v>
      </c>
      <c r="H374">
        <v>32834</v>
      </c>
      <c r="I374">
        <v>9850.2000000000007</v>
      </c>
      <c r="J374" t="s">
        <v>36</v>
      </c>
      <c r="K374" t="s">
        <v>30</v>
      </c>
      <c r="L374" t="s">
        <v>37</v>
      </c>
      <c r="M374" t="s">
        <v>24</v>
      </c>
      <c r="N374">
        <v>187153.8</v>
      </c>
    </row>
    <row r="375" spans="1:14" x14ac:dyDescent="0.3">
      <c r="A375" t="s">
        <v>415</v>
      </c>
      <c r="B375" s="1">
        <v>45096</v>
      </c>
      <c r="C375" t="s">
        <v>39</v>
      </c>
      <c r="D375" t="s">
        <v>40</v>
      </c>
      <c r="E375" t="s">
        <v>44</v>
      </c>
      <c r="F375" t="s">
        <v>35</v>
      </c>
      <c r="G375">
        <v>2</v>
      </c>
      <c r="H375">
        <v>260</v>
      </c>
      <c r="I375">
        <v>26</v>
      </c>
      <c r="J375" t="s">
        <v>18</v>
      </c>
      <c r="K375" t="s">
        <v>41</v>
      </c>
      <c r="L375" t="s">
        <v>37</v>
      </c>
      <c r="M375" t="s">
        <v>24</v>
      </c>
      <c r="N375">
        <v>494</v>
      </c>
    </row>
    <row r="376" spans="1:14" x14ac:dyDescent="0.3">
      <c r="A376" t="s">
        <v>416</v>
      </c>
      <c r="B376" s="1">
        <v>45173</v>
      </c>
      <c r="C376" t="s">
        <v>46</v>
      </c>
      <c r="D376" t="s">
        <v>15</v>
      </c>
      <c r="E376" t="s">
        <v>27</v>
      </c>
      <c r="F376" t="s">
        <v>35</v>
      </c>
      <c r="G376">
        <v>5</v>
      </c>
      <c r="H376">
        <v>9469</v>
      </c>
      <c r="I376">
        <v>7101.75</v>
      </c>
      <c r="J376" t="s">
        <v>18</v>
      </c>
      <c r="K376" t="s">
        <v>41</v>
      </c>
      <c r="L376" t="s">
        <v>37</v>
      </c>
      <c r="M376" t="s">
        <v>33</v>
      </c>
      <c r="N376">
        <v>40243.25</v>
      </c>
    </row>
    <row r="377" spans="1:14" x14ac:dyDescent="0.3">
      <c r="A377" t="s">
        <v>417</v>
      </c>
      <c r="B377" s="1">
        <v>44952</v>
      </c>
      <c r="C377" t="s">
        <v>14</v>
      </c>
      <c r="D377" t="s">
        <v>15</v>
      </c>
      <c r="E377" t="s">
        <v>16</v>
      </c>
      <c r="F377" t="s">
        <v>35</v>
      </c>
      <c r="G377">
        <v>6</v>
      </c>
      <c r="H377">
        <v>23265</v>
      </c>
      <c r="I377">
        <v>6979.5</v>
      </c>
      <c r="J377" t="s">
        <v>29</v>
      </c>
      <c r="K377" t="s">
        <v>19</v>
      </c>
      <c r="L377" t="s">
        <v>20</v>
      </c>
      <c r="M377" t="s">
        <v>33</v>
      </c>
      <c r="N377">
        <v>132610.5</v>
      </c>
    </row>
    <row r="378" spans="1:14" x14ac:dyDescent="0.3">
      <c r="A378" t="s">
        <v>418</v>
      </c>
      <c r="B378" s="1">
        <v>45281</v>
      </c>
      <c r="C378" t="s">
        <v>14</v>
      </c>
      <c r="D378" t="s">
        <v>43</v>
      </c>
      <c r="E378" t="s">
        <v>27</v>
      </c>
      <c r="F378" t="s">
        <v>17</v>
      </c>
      <c r="G378">
        <v>4</v>
      </c>
      <c r="H378">
        <v>3095</v>
      </c>
      <c r="I378">
        <v>1238</v>
      </c>
      <c r="J378" t="s">
        <v>29</v>
      </c>
      <c r="K378" t="s">
        <v>41</v>
      </c>
      <c r="L378" t="s">
        <v>20</v>
      </c>
      <c r="M378" t="s">
        <v>33</v>
      </c>
      <c r="N378">
        <v>11142</v>
      </c>
    </row>
    <row r="379" spans="1:14" x14ac:dyDescent="0.3">
      <c r="A379" t="s">
        <v>419</v>
      </c>
      <c r="B379" s="1">
        <v>45232</v>
      </c>
      <c r="C379" t="s">
        <v>26</v>
      </c>
      <c r="D379" t="s">
        <v>15</v>
      </c>
      <c r="E379" t="s">
        <v>16</v>
      </c>
      <c r="F379" t="s">
        <v>49</v>
      </c>
      <c r="G379">
        <v>3</v>
      </c>
      <c r="H379">
        <v>15523</v>
      </c>
      <c r="I379">
        <v>4656.9000000000005</v>
      </c>
      <c r="J379" t="s">
        <v>29</v>
      </c>
      <c r="K379" t="s">
        <v>19</v>
      </c>
      <c r="L379" t="s">
        <v>23</v>
      </c>
      <c r="M379" t="s">
        <v>21</v>
      </c>
      <c r="N379">
        <v>41912.1</v>
      </c>
    </row>
    <row r="380" spans="1:14" x14ac:dyDescent="0.3">
      <c r="A380" t="s">
        <v>420</v>
      </c>
      <c r="B380" s="1">
        <v>44939</v>
      </c>
      <c r="C380" t="s">
        <v>39</v>
      </c>
      <c r="D380" t="s">
        <v>43</v>
      </c>
      <c r="E380" t="s">
        <v>44</v>
      </c>
      <c r="F380" t="s">
        <v>17</v>
      </c>
      <c r="G380">
        <v>7</v>
      </c>
      <c r="H380">
        <v>12552</v>
      </c>
      <c r="I380">
        <v>17572.8</v>
      </c>
      <c r="J380" t="s">
        <v>29</v>
      </c>
      <c r="K380" t="s">
        <v>30</v>
      </c>
      <c r="L380" t="s">
        <v>37</v>
      </c>
      <c r="M380" t="s">
        <v>21</v>
      </c>
      <c r="N380">
        <v>70291.199999999997</v>
      </c>
    </row>
    <row r="381" spans="1:14" x14ac:dyDescent="0.3">
      <c r="A381" t="s">
        <v>421</v>
      </c>
      <c r="B381" s="1">
        <v>45242</v>
      </c>
      <c r="C381" t="s">
        <v>26</v>
      </c>
      <c r="D381" t="s">
        <v>40</v>
      </c>
      <c r="E381" t="s">
        <v>44</v>
      </c>
      <c r="F381" t="s">
        <v>47</v>
      </c>
      <c r="G381">
        <v>2</v>
      </c>
      <c r="H381">
        <v>44843</v>
      </c>
      <c r="I381">
        <v>17937.2</v>
      </c>
      <c r="J381" t="s">
        <v>18</v>
      </c>
      <c r="K381" t="s">
        <v>41</v>
      </c>
      <c r="L381" t="s">
        <v>20</v>
      </c>
      <c r="M381" t="s">
        <v>24</v>
      </c>
      <c r="N381">
        <v>71748.800000000003</v>
      </c>
    </row>
    <row r="382" spans="1:14" x14ac:dyDescent="0.3">
      <c r="A382" t="s">
        <v>422</v>
      </c>
      <c r="B382" s="1">
        <v>45239</v>
      </c>
      <c r="C382" t="s">
        <v>32</v>
      </c>
      <c r="D382" t="s">
        <v>43</v>
      </c>
      <c r="E382" t="s">
        <v>16</v>
      </c>
      <c r="F382" t="s">
        <v>17</v>
      </c>
      <c r="G382">
        <v>6</v>
      </c>
      <c r="H382">
        <v>49937</v>
      </c>
      <c r="I382">
        <v>14981.1</v>
      </c>
      <c r="J382" t="s">
        <v>50</v>
      </c>
      <c r="K382" t="s">
        <v>30</v>
      </c>
      <c r="L382" t="s">
        <v>23</v>
      </c>
      <c r="M382" t="s">
        <v>33</v>
      </c>
      <c r="N382">
        <v>284640.89999999898</v>
      </c>
    </row>
    <row r="383" spans="1:14" x14ac:dyDescent="0.3">
      <c r="A383" t="s">
        <v>423</v>
      </c>
      <c r="B383" s="1">
        <v>44962</v>
      </c>
      <c r="C383" t="s">
        <v>26</v>
      </c>
      <c r="D383" t="s">
        <v>43</v>
      </c>
      <c r="E383" t="s">
        <v>44</v>
      </c>
      <c r="F383" t="s">
        <v>35</v>
      </c>
      <c r="G383">
        <v>4</v>
      </c>
      <c r="H383">
        <v>38791</v>
      </c>
      <c r="I383">
        <v>0</v>
      </c>
      <c r="J383" t="s">
        <v>50</v>
      </c>
      <c r="K383" t="s">
        <v>30</v>
      </c>
      <c r="L383" t="s">
        <v>37</v>
      </c>
      <c r="M383" t="s">
        <v>24</v>
      </c>
      <c r="N383">
        <v>155164</v>
      </c>
    </row>
    <row r="384" spans="1:14" x14ac:dyDescent="0.3">
      <c r="A384" t="s">
        <v>424</v>
      </c>
      <c r="B384" s="1">
        <v>45099</v>
      </c>
      <c r="C384" t="s">
        <v>26</v>
      </c>
      <c r="D384" t="s">
        <v>40</v>
      </c>
      <c r="E384" t="s">
        <v>16</v>
      </c>
      <c r="F384" t="s">
        <v>28</v>
      </c>
      <c r="G384">
        <v>6</v>
      </c>
      <c r="H384">
        <v>31090</v>
      </c>
      <c r="I384">
        <v>27981</v>
      </c>
      <c r="J384" t="s">
        <v>50</v>
      </c>
      <c r="K384" t="s">
        <v>30</v>
      </c>
      <c r="L384" t="s">
        <v>20</v>
      </c>
      <c r="M384" t="s">
        <v>21</v>
      </c>
      <c r="N384">
        <v>158559</v>
      </c>
    </row>
    <row r="385" spans="1:14" x14ac:dyDescent="0.3">
      <c r="A385" t="s">
        <v>425</v>
      </c>
      <c r="B385" s="1">
        <v>44946</v>
      </c>
      <c r="C385" t="s">
        <v>46</v>
      </c>
      <c r="D385" t="s">
        <v>15</v>
      </c>
      <c r="E385" t="s">
        <v>16</v>
      </c>
      <c r="F385" t="s">
        <v>17</v>
      </c>
      <c r="G385">
        <v>4</v>
      </c>
      <c r="H385">
        <v>32216</v>
      </c>
      <c r="I385">
        <v>0</v>
      </c>
      <c r="J385" t="s">
        <v>36</v>
      </c>
      <c r="K385" t="s">
        <v>30</v>
      </c>
      <c r="L385" t="s">
        <v>20</v>
      </c>
      <c r="M385" t="s">
        <v>21</v>
      </c>
      <c r="N385">
        <v>128864</v>
      </c>
    </row>
    <row r="386" spans="1:14" x14ac:dyDescent="0.3">
      <c r="A386" t="s">
        <v>426</v>
      </c>
      <c r="B386" s="1">
        <v>45247</v>
      </c>
      <c r="C386" t="s">
        <v>14</v>
      </c>
      <c r="D386" t="s">
        <v>43</v>
      </c>
      <c r="E386" t="s">
        <v>44</v>
      </c>
      <c r="F386" t="s">
        <v>17</v>
      </c>
      <c r="G386">
        <v>4</v>
      </c>
      <c r="H386">
        <v>12162</v>
      </c>
      <c r="I386">
        <v>2432.4</v>
      </c>
      <c r="J386" t="s">
        <v>29</v>
      </c>
      <c r="K386" t="s">
        <v>41</v>
      </c>
      <c r="L386" t="s">
        <v>23</v>
      </c>
      <c r="M386" t="s">
        <v>21</v>
      </c>
      <c r="N386">
        <v>46215.6</v>
      </c>
    </row>
    <row r="387" spans="1:14" x14ac:dyDescent="0.3">
      <c r="A387" t="s">
        <v>427</v>
      </c>
      <c r="B387" s="1">
        <v>45190</v>
      </c>
      <c r="C387" t="s">
        <v>39</v>
      </c>
      <c r="D387" t="s">
        <v>43</v>
      </c>
      <c r="E387" t="s">
        <v>16</v>
      </c>
      <c r="F387" t="s">
        <v>35</v>
      </c>
      <c r="G387">
        <v>4</v>
      </c>
      <c r="H387">
        <v>33502</v>
      </c>
      <c r="I387">
        <v>6700.4000000000005</v>
      </c>
      <c r="J387" t="s">
        <v>29</v>
      </c>
      <c r="K387" t="s">
        <v>30</v>
      </c>
      <c r="L387" t="s">
        <v>37</v>
      </c>
      <c r="M387" t="s">
        <v>24</v>
      </c>
      <c r="N387">
        <v>127307.599999999</v>
      </c>
    </row>
    <row r="388" spans="1:14" x14ac:dyDescent="0.3">
      <c r="A388" t="s">
        <v>428</v>
      </c>
      <c r="B388" s="1">
        <v>45068</v>
      </c>
      <c r="C388" t="s">
        <v>26</v>
      </c>
      <c r="D388" t="s">
        <v>40</v>
      </c>
      <c r="E388" t="s">
        <v>27</v>
      </c>
      <c r="F388" t="s">
        <v>28</v>
      </c>
      <c r="G388">
        <v>9</v>
      </c>
      <c r="H388">
        <v>20046</v>
      </c>
      <c r="I388">
        <v>0</v>
      </c>
      <c r="J388" t="s">
        <v>18</v>
      </c>
      <c r="K388" t="s">
        <v>19</v>
      </c>
      <c r="L388" t="s">
        <v>37</v>
      </c>
      <c r="M388" t="s">
        <v>21</v>
      </c>
      <c r="N388">
        <v>180414</v>
      </c>
    </row>
    <row r="389" spans="1:14" x14ac:dyDescent="0.3">
      <c r="A389" t="s">
        <v>429</v>
      </c>
      <c r="B389" s="1">
        <v>45069</v>
      </c>
      <c r="C389" t="s">
        <v>39</v>
      </c>
      <c r="D389" t="s">
        <v>15</v>
      </c>
      <c r="E389" t="s">
        <v>27</v>
      </c>
      <c r="F389" t="s">
        <v>28</v>
      </c>
      <c r="G389">
        <v>7</v>
      </c>
      <c r="H389">
        <v>4211</v>
      </c>
      <c r="I389">
        <v>4421.55</v>
      </c>
      <c r="J389" t="s">
        <v>18</v>
      </c>
      <c r="K389" t="s">
        <v>41</v>
      </c>
      <c r="L389" t="s">
        <v>20</v>
      </c>
      <c r="M389" t="s">
        <v>33</v>
      </c>
      <c r="N389">
        <v>25055.45</v>
      </c>
    </row>
    <row r="390" spans="1:14" x14ac:dyDescent="0.3">
      <c r="A390" t="s">
        <v>430</v>
      </c>
      <c r="B390" s="1">
        <v>45018</v>
      </c>
      <c r="C390" t="s">
        <v>26</v>
      </c>
      <c r="D390" t="s">
        <v>43</v>
      </c>
      <c r="E390" t="s">
        <v>44</v>
      </c>
      <c r="F390" t="s">
        <v>47</v>
      </c>
      <c r="G390">
        <v>3</v>
      </c>
      <c r="H390">
        <v>19982</v>
      </c>
      <c r="I390">
        <v>0</v>
      </c>
      <c r="J390" t="s">
        <v>36</v>
      </c>
      <c r="K390" t="s">
        <v>30</v>
      </c>
      <c r="L390" t="s">
        <v>37</v>
      </c>
      <c r="M390" t="s">
        <v>24</v>
      </c>
      <c r="N390">
        <v>59946</v>
      </c>
    </row>
    <row r="391" spans="1:14" x14ac:dyDescent="0.3">
      <c r="A391" t="s">
        <v>431</v>
      </c>
      <c r="B391" s="1">
        <v>45280</v>
      </c>
      <c r="C391" t="s">
        <v>32</v>
      </c>
      <c r="D391" t="s">
        <v>40</v>
      </c>
      <c r="E391" t="s">
        <v>44</v>
      </c>
      <c r="F391" t="s">
        <v>17</v>
      </c>
      <c r="G391">
        <v>3</v>
      </c>
      <c r="H391">
        <v>2355</v>
      </c>
      <c r="I391">
        <v>1413</v>
      </c>
      <c r="J391" t="s">
        <v>36</v>
      </c>
      <c r="K391" t="s">
        <v>41</v>
      </c>
      <c r="L391" t="s">
        <v>23</v>
      </c>
      <c r="M391" t="s">
        <v>21</v>
      </c>
      <c r="N391">
        <v>5652</v>
      </c>
    </row>
    <row r="392" spans="1:14" x14ac:dyDescent="0.3">
      <c r="A392" t="s">
        <v>432</v>
      </c>
      <c r="B392" s="1">
        <v>45248</v>
      </c>
      <c r="C392" t="s">
        <v>26</v>
      </c>
      <c r="D392" t="s">
        <v>43</v>
      </c>
      <c r="E392" t="s">
        <v>16</v>
      </c>
      <c r="F392" t="s">
        <v>28</v>
      </c>
      <c r="G392">
        <v>6</v>
      </c>
      <c r="H392">
        <v>39925</v>
      </c>
      <c r="I392">
        <v>23955</v>
      </c>
      <c r="J392" t="s">
        <v>50</v>
      </c>
      <c r="K392" t="s">
        <v>19</v>
      </c>
      <c r="L392" t="s">
        <v>20</v>
      </c>
      <c r="M392" t="s">
        <v>24</v>
      </c>
      <c r="N392">
        <v>215595</v>
      </c>
    </row>
    <row r="393" spans="1:14" x14ac:dyDescent="0.3">
      <c r="A393" t="s">
        <v>433</v>
      </c>
      <c r="B393" s="1">
        <v>45214</v>
      </c>
      <c r="C393" t="s">
        <v>46</v>
      </c>
      <c r="D393" t="s">
        <v>40</v>
      </c>
      <c r="E393" t="s">
        <v>16</v>
      </c>
      <c r="F393" t="s">
        <v>28</v>
      </c>
      <c r="G393">
        <v>6</v>
      </c>
      <c r="H393">
        <v>9396</v>
      </c>
      <c r="I393">
        <v>11275.2</v>
      </c>
      <c r="J393" t="s">
        <v>18</v>
      </c>
      <c r="K393" t="s">
        <v>30</v>
      </c>
      <c r="L393" t="s">
        <v>20</v>
      </c>
      <c r="M393" t="s">
        <v>24</v>
      </c>
      <c r="N393">
        <v>45100.800000000003</v>
      </c>
    </row>
    <row r="394" spans="1:14" x14ac:dyDescent="0.3">
      <c r="A394" t="s">
        <v>434</v>
      </c>
      <c r="B394" s="1">
        <v>45141</v>
      </c>
      <c r="C394" t="s">
        <v>14</v>
      </c>
      <c r="D394" t="s">
        <v>15</v>
      </c>
      <c r="E394" t="s">
        <v>16</v>
      </c>
      <c r="F394" t="s">
        <v>49</v>
      </c>
      <c r="G394">
        <v>4</v>
      </c>
      <c r="H394">
        <v>43659</v>
      </c>
      <c r="I394">
        <v>17463.600000000002</v>
      </c>
      <c r="J394" t="s">
        <v>29</v>
      </c>
      <c r="K394" t="s">
        <v>19</v>
      </c>
      <c r="L394" t="s">
        <v>23</v>
      </c>
      <c r="M394" t="s">
        <v>21</v>
      </c>
      <c r="N394">
        <v>157172.4</v>
      </c>
    </row>
    <row r="395" spans="1:14" x14ac:dyDescent="0.3">
      <c r="A395" t="s">
        <v>435</v>
      </c>
      <c r="B395" s="1">
        <v>45268</v>
      </c>
      <c r="C395" t="s">
        <v>32</v>
      </c>
      <c r="D395" t="s">
        <v>15</v>
      </c>
      <c r="E395" t="s">
        <v>16</v>
      </c>
      <c r="F395" t="s">
        <v>49</v>
      </c>
      <c r="G395">
        <v>9</v>
      </c>
      <c r="H395">
        <v>21909</v>
      </c>
      <c r="I395">
        <v>9859.0500000000011</v>
      </c>
      <c r="J395" t="s">
        <v>50</v>
      </c>
      <c r="K395" t="s">
        <v>30</v>
      </c>
      <c r="L395" t="s">
        <v>20</v>
      </c>
      <c r="M395" t="s">
        <v>21</v>
      </c>
      <c r="N395">
        <v>187321.94999999899</v>
      </c>
    </row>
    <row r="396" spans="1:14" x14ac:dyDescent="0.3">
      <c r="A396" t="s">
        <v>436</v>
      </c>
      <c r="B396" s="1">
        <v>44977</v>
      </c>
      <c r="C396" t="s">
        <v>26</v>
      </c>
      <c r="D396" t="s">
        <v>15</v>
      </c>
      <c r="E396" t="s">
        <v>27</v>
      </c>
      <c r="F396" t="s">
        <v>28</v>
      </c>
      <c r="G396">
        <v>4</v>
      </c>
      <c r="H396">
        <v>13527</v>
      </c>
      <c r="I396">
        <v>8116.2</v>
      </c>
      <c r="J396" t="s">
        <v>29</v>
      </c>
      <c r="K396" t="s">
        <v>19</v>
      </c>
      <c r="L396" t="s">
        <v>37</v>
      </c>
      <c r="M396" t="s">
        <v>24</v>
      </c>
      <c r="N396">
        <v>45991.799999999901</v>
      </c>
    </row>
    <row r="397" spans="1:14" x14ac:dyDescent="0.3">
      <c r="A397" t="s">
        <v>437</v>
      </c>
      <c r="B397" s="1">
        <v>45079</v>
      </c>
      <c r="C397" t="s">
        <v>39</v>
      </c>
      <c r="D397" t="s">
        <v>15</v>
      </c>
      <c r="E397" t="s">
        <v>27</v>
      </c>
      <c r="F397" t="s">
        <v>47</v>
      </c>
      <c r="G397">
        <v>9</v>
      </c>
      <c r="H397">
        <v>35674</v>
      </c>
      <c r="I397">
        <v>0</v>
      </c>
      <c r="J397" t="s">
        <v>50</v>
      </c>
      <c r="K397" t="s">
        <v>30</v>
      </c>
      <c r="L397" t="s">
        <v>37</v>
      </c>
      <c r="M397" t="s">
        <v>24</v>
      </c>
      <c r="N397">
        <v>321066</v>
      </c>
    </row>
    <row r="398" spans="1:14" x14ac:dyDescent="0.3">
      <c r="A398" t="s">
        <v>438</v>
      </c>
      <c r="B398" s="1">
        <v>45112</v>
      </c>
      <c r="C398" t="s">
        <v>32</v>
      </c>
      <c r="D398" t="s">
        <v>43</v>
      </c>
      <c r="E398" t="s">
        <v>44</v>
      </c>
      <c r="F398" t="s">
        <v>28</v>
      </c>
      <c r="G398">
        <v>4</v>
      </c>
      <c r="H398">
        <v>32969</v>
      </c>
      <c r="I398">
        <v>19781.399999999998</v>
      </c>
      <c r="J398" t="s">
        <v>29</v>
      </c>
      <c r="K398" t="s">
        <v>41</v>
      </c>
      <c r="L398" t="s">
        <v>20</v>
      </c>
      <c r="M398" t="s">
        <v>21</v>
      </c>
      <c r="N398">
        <v>112094.599999999</v>
      </c>
    </row>
    <row r="399" spans="1:14" x14ac:dyDescent="0.3">
      <c r="A399" t="s">
        <v>439</v>
      </c>
      <c r="B399" s="1">
        <v>44989</v>
      </c>
      <c r="C399" t="s">
        <v>32</v>
      </c>
      <c r="D399" t="s">
        <v>43</v>
      </c>
      <c r="E399" t="s">
        <v>16</v>
      </c>
      <c r="F399" t="s">
        <v>35</v>
      </c>
      <c r="G399">
        <v>2</v>
      </c>
      <c r="H399">
        <v>42193</v>
      </c>
      <c r="I399">
        <v>0</v>
      </c>
      <c r="J399" t="s">
        <v>36</v>
      </c>
      <c r="K399" t="s">
        <v>30</v>
      </c>
      <c r="L399" t="s">
        <v>23</v>
      </c>
      <c r="M399" t="s">
        <v>33</v>
      </c>
      <c r="N399">
        <v>84386</v>
      </c>
    </row>
    <row r="400" spans="1:14" x14ac:dyDescent="0.3">
      <c r="A400" t="s">
        <v>440</v>
      </c>
      <c r="B400" s="1">
        <v>45116</v>
      </c>
      <c r="C400" t="s">
        <v>26</v>
      </c>
      <c r="D400" t="s">
        <v>15</v>
      </c>
      <c r="E400" t="s">
        <v>16</v>
      </c>
      <c r="F400" t="s">
        <v>17</v>
      </c>
      <c r="G400">
        <v>2</v>
      </c>
      <c r="H400">
        <v>24900</v>
      </c>
      <c r="I400">
        <v>9960</v>
      </c>
      <c r="J400" t="s">
        <v>50</v>
      </c>
      <c r="K400" t="s">
        <v>41</v>
      </c>
      <c r="L400" t="s">
        <v>23</v>
      </c>
      <c r="M400" t="s">
        <v>24</v>
      </c>
      <c r="N400">
        <v>39840</v>
      </c>
    </row>
    <row r="401" spans="1:14" x14ac:dyDescent="0.3">
      <c r="A401" t="s">
        <v>441</v>
      </c>
      <c r="B401" s="1">
        <v>45051</v>
      </c>
      <c r="C401" t="s">
        <v>32</v>
      </c>
      <c r="D401" t="s">
        <v>15</v>
      </c>
      <c r="E401" t="s">
        <v>44</v>
      </c>
      <c r="F401" t="s">
        <v>47</v>
      </c>
      <c r="G401">
        <v>5</v>
      </c>
      <c r="H401">
        <v>15020</v>
      </c>
      <c r="I401">
        <v>15020</v>
      </c>
      <c r="J401" t="s">
        <v>29</v>
      </c>
      <c r="K401" t="s">
        <v>30</v>
      </c>
      <c r="L401" t="s">
        <v>37</v>
      </c>
      <c r="M401" t="s">
        <v>24</v>
      </c>
      <c r="N401">
        <v>60080</v>
      </c>
    </row>
    <row r="402" spans="1:14" x14ac:dyDescent="0.3">
      <c r="A402" t="s">
        <v>442</v>
      </c>
      <c r="B402" s="1">
        <v>45076</v>
      </c>
      <c r="C402" t="s">
        <v>39</v>
      </c>
      <c r="D402" t="s">
        <v>15</v>
      </c>
      <c r="E402" t="s">
        <v>16</v>
      </c>
      <c r="F402" t="s">
        <v>35</v>
      </c>
      <c r="G402">
        <v>4</v>
      </c>
      <c r="H402">
        <v>11091</v>
      </c>
      <c r="I402">
        <v>0</v>
      </c>
      <c r="J402" t="s">
        <v>29</v>
      </c>
      <c r="K402" t="s">
        <v>30</v>
      </c>
      <c r="L402" t="s">
        <v>23</v>
      </c>
      <c r="M402" t="s">
        <v>33</v>
      </c>
      <c r="N402">
        <v>44364</v>
      </c>
    </row>
    <row r="403" spans="1:14" x14ac:dyDescent="0.3">
      <c r="A403" t="s">
        <v>443</v>
      </c>
      <c r="B403" s="1">
        <v>45240</v>
      </c>
      <c r="C403" t="s">
        <v>32</v>
      </c>
      <c r="D403" t="s">
        <v>43</v>
      </c>
      <c r="E403" t="s">
        <v>16</v>
      </c>
      <c r="F403" t="s">
        <v>47</v>
      </c>
      <c r="G403">
        <v>7</v>
      </c>
      <c r="H403">
        <v>34829</v>
      </c>
      <c r="I403">
        <v>36570.449999999997</v>
      </c>
      <c r="J403" t="s">
        <v>18</v>
      </c>
      <c r="K403" t="s">
        <v>19</v>
      </c>
      <c r="L403" t="s">
        <v>20</v>
      </c>
      <c r="M403" t="s">
        <v>21</v>
      </c>
      <c r="N403">
        <v>207232.55</v>
      </c>
    </row>
    <row r="404" spans="1:14" x14ac:dyDescent="0.3">
      <c r="A404" t="s">
        <v>444</v>
      </c>
      <c r="B404" s="1">
        <v>44984</v>
      </c>
      <c r="C404" t="s">
        <v>39</v>
      </c>
      <c r="D404" t="s">
        <v>15</v>
      </c>
      <c r="E404" t="s">
        <v>16</v>
      </c>
      <c r="F404" t="s">
        <v>35</v>
      </c>
      <c r="G404">
        <v>5</v>
      </c>
      <c r="H404">
        <v>5469</v>
      </c>
      <c r="I404">
        <v>0</v>
      </c>
      <c r="J404" t="s">
        <v>50</v>
      </c>
      <c r="K404" t="s">
        <v>19</v>
      </c>
      <c r="L404" t="s">
        <v>20</v>
      </c>
      <c r="M404" t="s">
        <v>21</v>
      </c>
      <c r="N404">
        <v>27345</v>
      </c>
    </row>
    <row r="405" spans="1:14" x14ac:dyDescent="0.3">
      <c r="A405" t="s">
        <v>445</v>
      </c>
      <c r="B405" s="1">
        <v>45268</v>
      </c>
      <c r="C405" t="s">
        <v>26</v>
      </c>
      <c r="D405" t="s">
        <v>15</v>
      </c>
      <c r="E405" t="s">
        <v>16</v>
      </c>
      <c r="F405" t="s">
        <v>17</v>
      </c>
      <c r="G405">
        <v>6</v>
      </c>
      <c r="H405">
        <v>44080</v>
      </c>
      <c r="I405">
        <v>13224</v>
      </c>
      <c r="J405" t="s">
        <v>29</v>
      </c>
      <c r="K405" t="s">
        <v>19</v>
      </c>
      <c r="L405" t="s">
        <v>37</v>
      </c>
      <c r="M405" t="s">
        <v>33</v>
      </c>
      <c r="N405">
        <v>251256</v>
      </c>
    </row>
    <row r="406" spans="1:14" x14ac:dyDescent="0.3">
      <c r="A406" t="s">
        <v>446</v>
      </c>
      <c r="B406" s="1">
        <v>45231</v>
      </c>
      <c r="C406" t="s">
        <v>14</v>
      </c>
      <c r="D406" t="s">
        <v>15</v>
      </c>
      <c r="E406" t="s">
        <v>16</v>
      </c>
      <c r="F406" t="s">
        <v>17</v>
      </c>
      <c r="G406">
        <v>4</v>
      </c>
      <c r="H406">
        <v>48667</v>
      </c>
      <c r="I406">
        <v>38933.599999999999</v>
      </c>
      <c r="J406" t="s">
        <v>18</v>
      </c>
      <c r="K406" t="s">
        <v>30</v>
      </c>
      <c r="L406" t="s">
        <v>37</v>
      </c>
      <c r="M406" t="s">
        <v>21</v>
      </c>
      <c r="N406">
        <v>155734.39999999999</v>
      </c>
    </row>
    <row r="407" spans="1:14" x14ac:dyDescent="0.3">
      <c r="A407" t="s">
        <v>447</v>
      </c>
      <c r="B407" s="1">
        <v>45106</v>
      </c>
      <c r="C407" t="s">
        <v>32</v>
      </c>
      <c r="D407" t="s">
        <v>40</v>
      </c>
      <c r="E407" t="s">
        <v>44</v>
      </c>
      <c r="F407" t="s">
        <v>49</v>
      </c>
      <c r="G407">
        <v>2</v>
      </c>
      <c r="H407">
        <v>8520</v>
      </c>
      <c r="I407">
        <v>852</v>
      </c>
      <c r="J407" t="s">
        <v>29</v>
      </c>
      <c r="K407" t="s">
        <v>30</v>
      </c>
      <c r="L407" t="s">
        <v>37</v>
      </c>
      <c r="M407" t="s">
        <v>21</v>
      </c>
      <c r="N407">
        <v>16188</v>
      </c>
    </row>
    <row r="408" spans="1:14" x14ac:dyDescent="0.3">
      <c r="A408" t="s">
        <v>448</v>
      </c>
      <c r="B408" s="1">
        <v>45096</v>
      </c>
      <c r="C408" t="s">
        <v>14</v>
      </c>
      <c r="D408" t="s">
        <v>15</v>
      </c>
      <c r="E408" t="s">
        <v>16</v>
      </c>
      <c r="F408" t="s">
        <v>35</v>
      </c>
      <c r="G408">
        <v>9</v>
      </c>
      <c r="H408">
        <v>49789</v>
      </c>
      <c r="I408">
        <v>89620.200000000012</v>
      </c>
      <c r="J408" t="s">
        <v>50</v>
      </c>
      <c r="K408" t="s">
        <v>30</v>
      </c>
      <c r="L408" t="s">
        <v>23</v>
      </c>
      <c r="M408" t="s">
        <v>24</v>
      </c>
      <c r="N408">
        <v>358480.8</v>
      </c>
    </row>
    <row r="409" spans="1:14" x14ac:dyDescent="0.3">
      <c r="A409" t="s">
        <v>449</v>
      </c>
      <c r="B409" s="1">
        <v>45252</v>
      </c>
      <c r="C409" t="s">
        <v>39</v>
      </c>
      <c r="D409" t="s">
        <v>40</v>
      </c>
      <c r="E409" t="s">
        <v>44</v>
      </c>
      <c r="F409" t="s">
        <v>49</v>
      </c>
      <c r="G409">
        <v>7</v>
      </c>
      <c r="H409">
        <v>10940</v>
      </c>
      <c r="I409">
        <v>15316</v>
      </c>
      <c r="J409" t="s">
        <v>36</v>
      </c>
      <c r="K409" t="s">
        <v>41</v>
      </c>
      <c r="L409" t="s">
        <v>20</v>
      </c>
      <c r="M409" t="s">
        <v>24</v>
      </c>
      <c r="N409">
        <v>61264</v>
      </c>
    </row>
    <row r="410" spans="1:14" x14ac:dyDescent="0.3">
      <c r="A410" t="s">
        <v>450</v>
      </c>
      <c r="B410" s="1">
        <v>45197</v>
      </c>
      <c r="C410" t="s">
        <v>32</v>
      </c>
      <c r="D410" t="s">
        <v>40</v>
      </c>
      <c r="E410" t="s">
        <v>16</v>
      </c>
      <c r="F410" t="s">
        <v>35</v>
      </c>
      <c r="G410">
        <v>4</v>
      </c>
      <c r="H410">
        <v>36097</v>
      </c>
      <c r="I410">
        <v>14438.800000000001</v>
      </c>
      <c r="J410" t="s">
        <v>50</v>
      </c>
      <c r="K410" t="s">
        <v>41</v>
      </c>
      <c r="L410" t="s">
        <v>20</v>
      </c>
      <c r="M410" t="s">
        <v>24</v>
      </c>
      <c r="N410">
        <v>129949.2</v>
      </c>
    </row>
    <row r="411" spans="1:14" x14ac:dyDescent="0.3">
      <c r="A411" t="s">
        <v>451</v>
      </c>
      <c r="B411" s="1">
        <v>44980</v>
      </c>
      <c r="C411" t="s">
        <v>46</v>
      </c>
      <c r="D411" t="s">
        <v>15</v>
      </c>
      <c r="E411" t="s">
        <v>27</v>
      </c>
      <c r="F411" t="s">
        <v>49</v>
      </c>
      <c r="G411">
        <v>3</v>
      </c>
      <c r="H411">
        <v>31130</v>
      </c>
      <c r="I411">
        <v>4669.5</v>
      </c>
      <c r="J411" t="s">
        <v>50</v>
      </c>
      <c r="K411" t="s">
        <v>30</v>
      </c>
      <c r="L411" t="s">
        <v>20</v>
      </c>
      <c r="M411" t="s">
        <v>33</v>
      </c>
      <c r="N411">
        <v>88720.5</v>
      </c>
    </row>
    <row r="412" spans="1:14" x14ac:dyDescent="0.3">
      <c r="A412" t="s">
        <v>452</v>
      </c>
      <c r="B412" s="1">
        <v>45027</v>
      </c>
      <c r="C412" t="s">
        <v>14</v>
      </c>
      <c r="D412" t="s">
        <v>40</v>
      </c>
      <c r="E412" t="s">
        <v>27</v>
      </c>
      <c r="F412" t="s">
        <v>17</v>
      </c>
      <c r="G412">
        <v>3</v>
      </c>
      <c r="H412">
        <v>17485</v>
      </c>
      <c r="I412">
        <v>2622.75</v>
      </c>
      <c r="J412" t="s">
        <v>29</v>
      </c>
      <c r="K412" t="s">
        <v>19</v>
      </c>
      <c r="L412" t="s">
        <v>37</v>
      </c>
      <c r="M412" t="s">
        <v>21</v>
      </c>
      <c r="N412">
        <v>49832.25</v>
      </c>
    </row>
    <row r="413" spans="1:14" x14ac:dyDescent="0.3">
      <c r="A413" t="s">
        <v>453</v>
      </c>
      <c r="B413" s="1">
        <v>45190</v>
      </c>
      <c r="C413" t="s">
        <v>32</v>
      </c>
      <c r="D413" t="s">
        <v>15</v>
      </c>
      <c r="E413" t="s">
        <v>27</v>
      </c>
      <c r="F413" t="s">
        <v>47</v>
      </c>
      <c r="G413">
        <v>9</v>
      </c>
      <c r="H413">
        <v>14580</v>
      </c>
      <c r="I413">
        <v>13122</v>
      </c>
      <c r="J413" t="s">
        <v>29</v>
      </c>
      <c r="K413" t="s">
        <v>19</v>
      </c>
      <c r="L413" t="s">
        <v>20</v>
      </c>
      <c r="M413" t="s">
        <v>21</v>
      </c>
      <c r="N413">
        <v>118098</v>
      </c>
    </row>
    <row r="414" spans="1:14" x14ac:dyDescent="0.3">
      <c r="A414" t="s">
        <v>454</v>
      </c>
      <c r="B414" s="1">
        <v>44979</v>
      </c>
      <c r="C414" t="s">
        <v>14</v>
      </c>
      <c r="D414" t="s">
        <v>43</v>
      </c>
      <c r="E414" t="s">
        <v>27</v>
      </c>
      <c r="F414" t="s">
        <v>49</v>
      </c>
      <c r="G414">
        <v>5</v>
      </c>
      <c r="H414">
        <v>11560</v>
      </c>
      <c r="I414">
        <v>8670</v>
      </c>
      <c r="J414" t="s">
        <v>50</v>
      </c>
      <c r="K414" t="s">
        <v>19</v>
      </c>
      <c r="L414" t="s">
        <v>23</v>
      </c>
      <c r="M414" t="s">
        <v>24</v>
      </c>
      <c r="N414">
        <v>49130</v>
      </c>
    </row>
    <row r="415" spans="1:14" x14ac:dyDescent="0.3">
      <c r="A415" t="s">
        <v>455</v>
      </c>
      <c r="B415" s="1">
        <v>44986</v>
      </c>
      <c r="C415" t="s">
        <v>32</v>
      </c>
      <c r="D415" t="s">
        <v>43</v>
      </c>
      <c r="E415" t="s">
        <v>44</v>
      </c>
      <c r="F415" t="s">
        <v>35</v>
      </c>
      <c r="G415">
        <v>3</v>
      </c>
      <c r="H415">
        <v>5598</v>
      </c>
      <c r="I415">
        <v>839.7</v>
      </c>
      <c r="J415" t="s">
        <v>18</v>
      </c>
      <c r="K415" t="s">
        <v>30</v>
      </c>
      <c r="L415" t="s">
        <v>23</v>
      </c>
      <c r="M415" t="s">
        <v>24</v>
      </c>
      <c r="N415">
        <v>15954.3</v>
      </c>
    </row>
    <row r="416" spans="1:14" x14ac:dyDescent="0.3">
      <c r="A416" t="s">
        <v>456</v>
      </c>
      <c r="B416" s="1">
        <v>45034</v>
      </c>
      <c r="C416" t="s">
        <v>26</v>
      </c>
      <c r="D416" t="s">
        <v>43</v>
      </c>
      <c r="E416" t="s">
        <v>44</v>
      </c>
      <c r="F416" t="s">
        <v>35</v>
      </c>
      <c r="G416">
        <v>5</v>
      </c>
      <c r="H416">
        <v>5729</v>
      </c>
      <c r="I416">
        <v>0</v>
      </c>
      <c r="J416" t="s">
        <v>18</v>
      </c>
      <c r="K416" t="s">
        <v>19</v>
      </c>
      <c r="L416" t="s">
        <v>20</v>
      </c>
      <c r="M416" t="s">
        <v>33</v>
      </c>
      <c r="N416">
        <v>28645</v>
      </c>
    </row>
    <row r="417" spans="1:14" x14ac:dyDescent="0.3">
      <c r="A417" t="s">
        <v>457</v>
      </c>
      <c r="B417" s="1">
        <v>44931</v>
      </c>
      <c r="C417" t="s">
        <v>14</v>
      </c>
      <c r="D417" t="s">
        <v>43</v>
      </c>
      <c r="E417" t="s">
        <v>16</v>
      </c>
      <c r="F417" t="s">
        <v>17</v>
      </c>
      <c r="G417">
        <v>2</v>
      </c>
      <c r="H417">
        <v>29262</v>
      </c>
      <c r="I417">
        <v>5852.4000000000005</v>
      </c>
      <c r="J417" t="s">
        <v>18</v>
      </c>
      <c r="K417" t="s">
        <v>30</v>
      </c>
      <c r="L417" t="s">
        <v>37</v>
      </c>
      <c r="M417" t="s">
        <v>21</v>
      </c>
      <c r="N417">
        <v>52671.6</v>
      </c>
    </row>
    <row r="418" spans="1:14" x14ac:dyDescent="0.3">
      <c r="A418" t="s">
        <v>458</v>
      </c>
      <c r="B418" s="1">
        <v>45029</v>
      </c>
      <c r="C418" t="s">
        <v>46</v>
      </c>
      <c r="D418" t="s">
        <v>40</v>
      </c>
      <c r="E418" t="s">
        <v>27</v>
      </c>
      <c r="F418" t="s">
        <v>35</v>
      </c>
      <c r="G418">
        <v>4</v>
      </c>
      <c r="H418">
        <v>36886</v>
      </c>
      <c r="I418">
        <v>7377.2000000000007</v>
      </c>
      <c r="J418" t="s">
        <v>29</v>
      </c>
      <c r="K418" t="s">
        <v>41</v>
      </c>
      <c r="L418" t="s">
        <v>20</v>
      </c>
      <c r="M418" t="s">
        <v>33</v>
      </c>
      <c r="N418">
        <v>140166.79999999999</v>
      </c>
    </row>
    <row r="419" spans="1:14" x14ac:dyDescent="0.3">
      <c r="A419" t="s">
        <v>459</v>
      </c>
      <c r="B419" s="1">
        <v>45122</v>
      </c>
      <c r="C419" t="s">
        <v>46</v>
      </c>
      <c r="D419" t="s">
        <v>15</v>
      </c>
      <c r="E419" t="s">
        <v>44</v>
      </c>
      <c r="F419" t="s">
        <v>28</v>
      </c>
      <c r="G419">
        <v>2</v>
      </c>
      <c r="H419">
        <v>17651</v>
      </c>
      <c r="I419">
        <v>5295.3</v>
      </c>
      <c r="J419" t="s">
        <v>29</v>
      </c>
      <c r="K419" t="s">
        <v>19</v>
      </c>
      <c r="L419" t="s">
        <v>23</v>
      </c>
      <c r="M419" t="s">
        <v>21</v>
      </c>
      <c r="N419">
        <v>30006.7</v>
      </c>
    </row>
    <row r="420" spans="1:14" x14ac:dyDescent="0.3">
      <c r="A420" t="s">
        <v>460</v>
      </c>
      <c r="B420" s="1">
        <v>45188</v>
      </c>
      <c r="C420" t="s">
        <v>39</v>
      </c>
      <c r="D420" t="s">
        <v>15</v>
      </c>
      <c r="E420" t="s">
        <v>16</v>
      </c>
      <c r="F420" t="s">
        <v>47</v>
      </c>
      <c r="G420">
        <v>2</v>
      </c>
      <c r="H420">
        <v>49378</v>
      </c>
      <c r="I420">
        <v>4937.8</v>
      </c>
      <c r="J420" t="s">
        <v>50</v>
      </c>
      <c r="K420" t="s">
        <v>41</v>
      </c>
      <c r="L420" t="s">
        <v>23</v>
      </c>
      <c r="M420" t="s">
        <v>33</v>
      </c>
      <c r="N420">
        <v>93818.2</v>
      </c>
    </row>
    <row r="421" spans="1:14" x14ac:dyDescent="0.3">
      <c r="A421" t="s">
        <v>461</v>
      </c>
      <c r="B421" s="1">
        <v>45291</v>
      </c>
      <c r="C421" t="s">
        <v>32</v>
      </c>
      <c r="D421" t="s">
        <v>15</v>
      </c>
      <c r="E421" t="s">
        <v>16</v>
      </c>
      <c r="F421" t="s">
        <v>49</v>
      </c>
      <c r="G421">
        <v>8</v>
      </c>
      <c r="H421">
        <v>7137</v>
      </c>
      <c r="I421">
        <v>11419.2</v>
      </c>
      <c r="J421" t="s">
        <v>36</v>
      </c>
      <c r="K421" t="s">
        <v>19</v>
      </c>
      <c r="L421" t="s">
        <v>23</v>
      </c>
      <c r="M421" t="s">
        <v>24</v>
      </c>
      <c r="N421">
        <v>45676.800000000003</v>
      </c>
    </row>
    <row r="422" spans="1:14" x14ac:dyDescent="0.3">
      <c r="A422" t="s">
        <v>462</v>
      </c>
      <c r="B422" s="1">
        <v>45276</v>
      </c>
      <c r="C422" t="s">
        <v>14</v>
      </c>
      <c r="D422" t="s">
        <v>43</v>
      </c>
      <c r="E422" t="s">
        <v>44</v>
      </c>
      <c r="F422" t="s">
        <v>47</v>
      </c>
      <c r="G422">
        <v>1</v>
      </c>
      <c r="H422">
        <v>40086</v>
      </c>
      <c r="I422">
        <v>0</v>
      </c>
      <c r="J422" t="s">
        <v>29</v>
      </c>
      <c r="K422" t="s">
        <v>30</v>
      </c>
      <c r="L422" t="s">
        <v>20</v>
      </c>
      <c r="M422" t="s">
        <v>33</v>
      </c>
      <c r="N422">
        <v>40086</v>
      </c>
    </row>
    <row r="423" spans="1:14" x14ac:dyDescent="0.3">
      <c r="A423" t="s">
        <v>463</v>
      </c>
      <c r="B423" s="1">
        <v>44973</v>
      </c>
      <c r="C423" t="s">
        <v>39</v>
      </c>
      <c r="D423" t="s">
        <v>43</v>
      </c>
      <c r="E423" t="s">
        <v>27</v>
      </c>
      <c r="F423" t="s">
        <v>17</v>
      </c>
      <c r="G423">
        <v>7</v>
      </c>
      <c r="H423">
        <v>49899</v>
      </c>
      <c r="I423">
        <v>34929.300000000003</v>
      </c>
      <c r="J423" t="s">
        <v>50</v>
      </c>
      <c r="K423" t="s">
        <v>30</v>
      </c>
      <c r="L423" t="s">
        <v>23</v>
      </c>
      <c r="M423" t="s">
        <v>33</v>
      </c>
      <c r="N423">
        <v>314363.7</v>
      </c>
    </row>
    <row r="424" spans="1:14" x14ac:dyDescent="0.3">
      <c r="A424" t="s">
        <v>464</v>
      </c>
      <c r="B424" s="1">
        <v>45281</v>
      </c>
      <c r="C424" t="s">
        <v>14</v>
      </c>
      <c r="D424" t="s">
        <v>15</v>
      </c>
      <c r="E424" t="s">
        <v>16</v>
      </c>
      <c r="F424" t="s">
        <v>49</v>
      </c>
      <c r="G424">
        <v>5</v>
      </c>
      <c r="H424">
        <v>11060</v>
      </c>
      <c r="I424">
        <v>11060</v>
      </c>
      <c r="J424" t="s">
        <v>50</v>
      </c>
      <c r="K424" t="s">
        <v>30</v>
      </c>
      <c r="L424" t="s">
        <v>37</v>
      </c>
      <c r="M424" t="s">
        <v>24</v>
      </c>
      <c r="N424">
        <v>44240</v>
      </c>
    </row>
    <row r="425" spans="1:14" x14ac:dyDescent="0.3">
      <c r="A425" t="s">
        <v>465</v>
      </c>
      <c r="B425" s="1">
        <v>45237</v>
      </c>
      <c r="C425" t="s">
        <v>32</v>
      </c>
      <c r="D425" t="s">
        <v>43</v>
      </c>
      <c r="E425" t="s">
        <v>27</v>
      </c>
      <c r="F425" t="s">
        <v>49</v>
      </c>
      <c r="G425">
        <v>8</v>
      </c>
      <c r="H425">
        <v>25342</v>
      </c>
      <c r="I425">
        <v>30410.399999999998</v>
      </c>
      <c r="J425" t="s">
        <v>36</v>
      </c>
      <c r="K425" t="s">
        <v>30</v>
      </c>
      <c r="L425" t="s">
        <v>20</v>
      </c>
      <c r="M425" t="s">
        <v>21</v>
      </c>
      <c r="N425">
        <v>172325.6</v>
      </c>
    </row>
    <row r="426" spans="1:14" x14ac:dyDescent="0.3">
      <c r="A426" t="s">
        <v>466</v>
      </c>
      <c r="B426" s="1">
        <v>45234</v>
      </c>
      <c r="C426" t="s">
        <v>46</v>
      </c>
      <c r="D426" t="s">
        <v>15</v>
      </c>
      <c r="E426" t="s">
        <v>27</v>
      </c>
      <c r="F426" t="s">
        <v>28</v>
      </c>
      <c r="G426">
        <v>1</v>
      </c>
      <c r="H426">
        <v>25479</v>
      </c>
      <c r="I426">
        <v>5095.8</v>
      </c>
      <c r="J426" t="s">
        <v>18</v>
      </c>
      <c r="K426" t="s">
        <v>19</v>
      </c>
      <c r="L426" t="s">
        <v>20</v>
      </c>
      <c r="M426" t="s">
        <v>21</v>
      </c>
      <c r="N426">
        <v>20383.2</v>
      </c>
    </row>
    <row r="427" spans="1:14" x14ac:dyDescent="0.3">
      <c r="A427" t="s">
        <v>467</v>
      </c>
      <c r="B427" s="1">
        <v>45070</v>
      </c>
      <c r="C427" t="s">
        <v>26</v>
      </c>
      <c r="D427" t="s">
        <v>15</v>
      </c>
      <c r="E427" t="s">
        <v>27</v>
      </c>
      <c r="F427" t="s">
        <v>17</v>
      </c>
      <c r="G427">
        <v>7</v>
      </c>
      <c r="H427">
        <v>38306</v>
      </c>
      <c r="I427">
        <v>53628.4</v>
      </c>
      <c r="J427" t="s">
        <v>50</v>
      </c>
      <c r="K427" t="s">
        <v>41</v>
      </c>
      <c r="L427" t="s">
        <v>23</v>
      </c>
      <c r="M427" t="s">
        <v>24</v>
      </c>
      <c r="N427">
        <v>214513.6</v>
      </c>
    </row>
    <row r="428" spans="1:14" x14ac:dyDescent="0.3">
      <c r="A428" t="s">
        <v>468</v>
      </c>
      <c r="B428" s="1">
        <v>45195</v>
      </c>
      <c r="C428" t="s">
        <v>46</v>
      </c>
      <c r="D428" t="s">
        <v>15</v>
      </c>
      <c r="E428" t="s">
        <v>16</v>
      </c>
      <c r="F428" t="s">
        <v>35</v>
      </c>
      <c r="G428">
        <v>5</v>
      </c>
      <c r="H428">
        <v>45440</v>
      </c>
      <c r="I428">
        <v>34080</v>
      </c>
      <c r="J428" t="s">
        <v>50</v>
      </c>
      <c r="K428" t="s">
        <v>30</v>
      </c>
      <c r="L428" t="s">
        <v>23</v>
      </c>
      <c r="M428" t="s">
        <v>33</v>
      </c>
      <c r="N428">
        <v>193120</v>
      </c>
    </row>
    <row r="429" spans="1:14" x14ac:dyDescent="0.3">
      <c r="A429" t="s">
        <v>469</v>
      </c>
      <c r="B429" s="1">
        <v>45050</v>
      </c>
      <c r="C429" t="s">
        <v>39</v>
      </c>
      <c r="D429" t="s">
        <v>15</v>
      </c>
      <c r="E429" t="s">
        <v>27</v>
      </c>
      <c r="F429" t="s">
        <v>28</v>
      </c>
      <c r="G429">
        <v>4</v>
      </c>
      <c r="H429">
        <v>36108</v>
      </c>
      <c r="I429">
        <v>28886.400000000001</v>
      </c>
      <c r="J429" t="s">
        <v>50</v>
      </c>
      <c r="K429" t="s">
        <v>19</v>
      </c>
      <c r="L429" t="s">
        <v>37</v>
      </c>
      <c r="M429" t="s">
        <v>33</v>
      </c>
      <c r="N429">
        <v>115545.60000000001</v>
      </c>
    </row>
    <row r="430" spans="1:14" x14ac:dyDescent="0.3">
      <c r="A430" t="s">
        <v>470</v>
      </c>
      <c r="B430" s="1">
        <v>45032</v>
      </c>
      <c r="C430" t="s">
        <v>26</v>
      </c>
      <c r="D430" t="s">
        <v>15</v>
      </c>
      <c r="E430" t="s">
        <v>16</v>
      </c>
      <c r="F430" t="s">
        <v>28</v>
      </c>
      <c r="G430">
        <v>7</v>
      </c>
      <c r="H430">
        <v>40964</v>
      </c>
      <c r="I430">
        <v>28674.800000000003</v>
      </c>
      <c r="J430" t="s">
        <v>18</v>
      </c>
      <c r="K430" t="s">
        <v>41</v>
      </c>
      <c r="L430" t="s">
        <v>20</v>
      </c>
      <c r="M430" t="s">
        <v>33</v>
      </c>
      <c r="N430">
        <v>258073.2</v>
      </c>
    </row>
    <row r="431" spans="1:14" x14ac:dyDescent="0.3">
      <c r="A431" t="s">
        <v>471</v>
      </c>
      <c r="B431" s="1">
        <v>45084</v>
      </c>
      <c r="C431" t="s">
        <v>39</v>
      </c>
      <c r="D431" t="s">
        <v>15</v>
      </c>
      <c r="E431" t="s">
        <v>27</v>
      </c>
      <c r="F431" t="s">
        <v>47</v>
      </c>
      <c r="G431">
        <v>2</v>
      </c>
      <c r="H431">
        <v>48457</v>
      </c>
      <c r="I431">
        <v>4845.7</v>
      </c>
      <c r="J431" t="s">
        <v>18</v>
      </c>
      <c r="K431" t="s">
        <v>30</v>
      </c>
      <c r="L431" t="s">
        <v>23</v>
      </c>
      <c r="M431" t="s">
        <v>21</v>
      </c>
      <c r="N431">
        <v>92068.3</v>
      </c>
    </row>
    <row r="432" spans="1:14" x14ac:dyDescent="0.3">
      <c r="A432" t="s">
        <v>472</v>
      </c>
      <c r="B432" s="1">
        <v>45073</v>
      </c>
      <c r="C432" t="s">
        <v>32</v>
      </c>
      <c r="D432" t="s">
        <v>15</v>
      </c>
      <c r="E432" t="s">
        <v>16</v>
      </c>
      <c r="F432" t="s">
        <v>47</v>
      </c>
      <c r="G432">
        <v>1</v>
      </c>
      <c r="H432">
        <v>14401</v>
      </c>
      <c r="I432">
        <v>2880.2000000000003</v>
      </c>
      <c r="J432" t="s">
        <v>36</v>
      </c>
      <c r="K432" t="s">
        <v>41</v>
      </c>
      <c r="L432" t="s">
        <v>37</v>
      </c>
      <c r="M432" t="s">
        <v>33</v>
      </c>
      <c r="N432">
        <v>11520.8</v>
      </c>
    </row>
    <row r="433" spans="1:14" x14ac:dyDescent="0.3">
      <c r="A433" t="s">
        <v>473</v>
      </c>
      <c r="B433" s="1">
        <v>45071</v>
      </c>
      <c r="C433" t="s">
        <v>26</v>
      </c>
      <c r="D433" t="s">
        <v>43</v>
      </c>
      <c r="E433" t="s">
        <v>27</v>
      </c>
      <c r="F433" t="s">
        <v>47</v>
      </c>
      <c r="G433">
        <v>1</v>
      </c>
      <c r="H433">
        <v>40744</v>
      </c>
      <c r="I433">
        <v>4074.4</v>
      </c>
      <c r="J433" t="s">
        <v>29</v>
      </c>
      <c r="K433" t="s">
        <v>30</v>
      </c>
      <c r="L433" t="s">
        <v>23</v>
      </c>
      <c r="M433" t="s">
        <v>21</v>
      </c>
      <c r="N433">
        <v>36669.599999999999</v>
      </c>
    </row>
    <row r="434" spans="1:14" x14ac:dyDescent="0.3">
      <c r="A434" t="s">
        <v>474</v>
      </c>
      <c r="B434" s="1">
        <v>45046</v>
      </c>
      <c r="C434" t="s">
        <v>39</v>
      </c>
      <c r="D434" t="s">
        <v>15</v>
      </c>
      <c r="E434" t="s">
        <v>44</v>
      </c>
      <c r="F434" t="s">
        <v>28</v>
      </c>
      <c r="G434">
        <v>1</v>
      </c>
      <c r="H434">
        <v>37911</v>
      </c>
      <c r="I434">
        <v>1895.5500000000002</v>
      </c>
      <c r="J434" t="s">
        <v>18</v>
      </c>
      <c r="K434" t="s">
        <v>41</v>
      </c>
      <c r="L434" t="s">
        <v>20</v>
      </c>
      <c r="M434" t="s">
        <v>33</v>
      </c>
      <c r="N434">
        <v>36015.449999999997</v>
      </c>
    </row>
    <row r="435" spans="1:14" x14ac:dyDescent="0.3">
      <c r="A435" t="s">
        <v>475</v>
      </c>
      <c r="B435" s="1">
        <v>45245</v>
      </c>
      <c r="C435" t="s">
        <v>32</v>
      </c>
      <c r="D435" t="s">
        <v>15</v>
      </c>
      <c r="E435" t="s">
        <v>27</v>
      </c>
      <c r="F435" t="s">
        <v>35</v>
      </c>
      <c r="G435">
        <v>5</v>
      </c>
      <c r="H435">
        <v>45854</v>
      </c>
      <c r="I435">
        <v>11463.5</v>
      </c>
      <c r="J435" t="s">
        <v>29</v>
      </c>
      <c r="K435" t="s">
        <v>41</v>
      </c>
      <c r="L435" t="s">
        <v>23</v>
      </c>
      <c r="M435" t="s">
        <v>24</v>
      </c>
      <c r="N435">
        <v>217806.5</v>
      </c>
    </row>
    <row r="436" spans="1:14" x14ac:dyDescent="0.3">
      <c r="A436" t="s">
        <v>476</v>
      </c>
      <c r="B436" s="1">
        <v>45201</v>
      </c>
      <c r="C436" t="s">
        <v>46</v>
      </c>
      <c r="D436" t="s">
        <v>43</v>
      </c>
      <c r="E436" t="s">
        <v>27</v>
      </c>
      <c r="F436" t="s">
        <v>49</v>
      </c>
      <c r="G436">
        <v>7</v>
      </c>
      <c r="H436">
        <v>9197</v>
      </c>
      <c r="I436">
        <v>12875.800000000001</v>
      </c>
      <c r="J436" t="s">
        <v>29</v>
      </c>
      <c r="K436" t="s">
        <v>30</v>
      </c>
      <c r="L436" t="s">
        <v>20</v>
      </c>
      <c r="M436" t="s">
        <v>24</v>
      </c>
      <c r="N436">
        <v>51503.199999999997</v>
      </c>
    </row>
    <row r="437" spans="1:14" x14ac:dyDescent="0.3">
      <c r="A437" t="s">
        <v>477</v>
      </c>
      <c r="B437" s="1">
        <v>45018</v>
      </c>
      <c r="C437" t="s">
        <v>32</v>
      </c>
      <c r="D437" t="s">
        <v>43</v>
      </c>
      <c r="E437" t="s">
        <v>16</v>
      </c>
      <c r="F437" t="s">
        <v>47</v>
      </c>
      <c r="G437">
        <v>2</v>
      </c>
      <c r="H437">
        <v>40766</v>
      </c>
      <c r="I437">
        <v>8153.2000000000007</v>
      </c>
      <c r="J437" t="s">
        <v>18</v>
      </c>
      <c r="K437" t="s">
        <v>19</v>
      </c>
      <c r="L437" t="s">
        <v>23</v>
      </c>
      <c r="M437" t="s">
        <v>21</v>
      </c>
      <c r="N437">
        <v>73378.8</v>
      </c>
    </row>
    <row r="438" spans="1:14" x14ac:dyDescent="0.3">
      <c r="A438" t="s">
        <v>478</v>
      </c>
      <c r="B438" s="1">
        <v>44984</v>
      </c>
      <c r="C438" t="s">
        <v>14</v>
      </c>
      <c r="D438" t="s">
        <v>43</v>
      </c>
      <c r="E438" t="s">
        <v>16</v>
      </c>
      <c r="F438" t="s">
        <v>35</v>
      </c>
      <c r="G438">
        <v>8</v>
      </c>
      <c r="H438">
        <v>20375</v>
      </c>
      <c r="I438">
        <v>32600</v>
      </c>
      <c r="J438" t="s">
        <v>50</v>
      </c>
      <c r="K438" t="s">
        <v>41</v>
      </c>
      <c r="L438" t="s">
        <v>20</v>
      </c>
      <c r="M438" t="s">
        <v>21</v>
      </c>
      <c r="N438">
        <v>130400</v>
      </c>
    </row>
    <row r="439" spans="1:14" x14ac:dyDescent="0.3">
      <c r="A439" t="s">
        <v>479</v>
      </c>
      <c r="B439" s="1">
        <v>45272</v>
      </c>
      <c r="C439" t="s">
        <v>32</v>
      </c>
      <c r="D439" t="s">
        <v>15</v>
      </c>
      <c r="E439" t="s">
        <v>27</v>
      </c>
      <c r="F439" t="s">
        <v>17</v>
      </c>
      <c r="G439">
        <v>4</v>
      </c>
      <c r="H439">
        <v>41060</v>
      </c>
      <c r="I439">
        <v>24636</v>
      </c>
      <c r="J439" t="s">
        <v>36</v>
      </c>
      <c r="K439" t="s">
        <v>30</v>
      </c>
      <c r="L439" t="s">
        <v>37</v>
      </c>
      <c r="M439" t="s">
        <v>24</v>
      </c>
      <c r="N439">
        <v>139604</v>
      </c>
    </row>
    <row r="440" spans="1:14" x14ac:dyDescent="0.3">
      <c r="A440" t="s">
        <v>480</v>
      </c>
      <c r="B440" s="1">
        <v>45155</v>
      </c>
      <c r="C440" t="s">
        <v>32</v>
      </c>
      <c r="D440" t="s">
        <v>40</v>
      </c>
      <c r="E440" t="s">
        <v>44</v>
      </c>
      <c r="F440" t="s">
        <v>47</v>
      </c>
      <c r="G440">
        <v>3</v>
      </c>
      <c r="H440">
        <v>3425</v>
      </c>
      <c r="I440">
        <v>513.75</v>
      </c>
      <c r="J440" t="s">
        <v>29</v>
      </c>
      <c r="K440" t="s">
        <v>41</v>
      </c>
      <c r="L440" t="s">
        <v>20</v>
      </c>
      <c r="M440" t="s">
        <v>24</v>
      </c>
      <c r="N440">
        <v>9761.25</v>
      </c>
    </row>
    <row r="441" spans="1:14" x14ac:dyDescent="0.3">
      <c r="A441" t="s">
        <v>481</v>
      </c>
      <c r="B441" s="1">
        <v>45043</v>
      </c>
      <c r="C441" t="s">
        <v>14</v>
      </c>
      <c r="D441" t="s">
        <v>40</v>
      </c>
      <c r="E441" t="s">
        <v>44</v>
      </c>
      <c r="F441" t="s">
        <v>49</v>
      </c>
      <c r="G441">
        <v>8</v>
      </c>
      <c r="H441">
        <v>44778</v>
      </c>
      <c r="I441">
        <v>71644.800000000003</v>
      </c>
      <c r="J441" t="s">
        <v>50</v>
      </c>
      <c r="K441" t="s">
        <v>41</v>
      </c>
      <c r="L441" t="s">
        <v>37</v>
      </c>
      <c r="M441" t="s">
        <v>33</v>
      </c>
      <c r="N441">
        <v>286579.20000000001</v>
      </c>
    </row>
    <row r="442" spans="1:14" x14ac:dyDescent="0.3">
      <c r="A442" t="s">
        <v>482</v>
      </c>
      <c r="B442" s="1">
        <v>45244</v>
      </c>
      <c r="C442" t="s">
        <v>39</v>
      </c>
      <c r="D442" t="s">
        <v>43</v>
      </c>
      <c r="E442" t="s">
        <v>16</v>
      </c>
      <c r="F442" t="s">
        <v>17</v>
      </c>
      <c r="G442">
        <v>2</v>
      </c>
      <c r="H442">
        <v>47882</v>
      </c>
      <c r="I442">
        <v>4788.2</v>
      </c>
      <c r="J442" t="s">
        <v>18</v>
      </c>
      <c r="K442" t="s">
        <v>19</v>
      </c>
      <c r="L442" t="s">
        <v>20</v>
      </c>
      <c r="M442" t="s">
        <v>24</v>
      </c>
      <c r="N442">
        <v>90975.8</v>
      </c>
    </row>
    <row r="443" spans="1:14" x14ac:dyDescent="0.3">
      <c r="A443" t="s">
        <v>483</v>
      </c>
      <c r="B443" s="1">
        <v>45205</v>
      </c>
      <c r="C443" t="s">
        <v>39</v>
      </c>
      <c r="D443" t="s">
        <v>40</v>
      </c>
      <c r="E443" t="s">
        <v>44</v>
      </c>
      <c r="F443" t="s">
        <v>17</v>
      </c>
      <c r="G443">
        <v>3</v>
      </c>
      <c r="H443">
        <v>35428</v>
      </c>
      <c r="I443">
        <v>10628.400000000001</v>
      </c>
      <c r="J443" t="s">
        <v>29</v>
      </c>
      <c r="K443" t="s">
        <v>41</v>
      </c>
      <c r="L443" t="s">
        <v>37</v>
      </c>
      <c r="M443" t="s">
        <v>21</v>
      </c>
      <c r="N443">
        <v>95655.6</v>
      </c>
    </row>
    <row r="444" spans="1:14" x14ac:dyDescent="0.3">
      <c r="A444" t="s">
        <v>484</v>
      </c>
      <c r="B444" s="1">
        <v>45053</v>
      </c>
      <c r="C444" t="s">
        <v>32</v>
      </c>
      <c r="D444" t="s">
        <v>43</v>
      </c>
      <c r="E444" t="s">
        <v>27</v>
      </c>
      <c r="F444" t="s">
        <v>49</v>
      </c>
      <c r="G444">
        <v>3</v>
      </c>
      <c r="H444">
        <v>41705</v>
      </c>
      <c r="I444">
        <v>0</v>
      </c>
      <c r="J444" t="s">
        <v>29</v>
      </c>
      <c r="K444" t="s">
        <v>41</v>
      </c>
      <c r="L444" t="s">
        <v>23</v>
      </c>
      <c r="M444" t="s">
        <v>24</v>
      </c>
      <c r="N444">
        <v>125115</v>
      </c>
    </row>
    <row r="445" spans="1:14" x14ac:dyDescent="0.3">
      <c r="A445" t="s">
        <v>485</v>
      </c>
      <c r="B445" s="1">
        <v>45055</v>
      </c>
      <c r="C445" t="s">
        <v>14</v>
      </c>
      <c r="D445" t="s">
        <v>15</v>
      </c>
      <c r="E445" t="s">
        <v>16</v>
      </c>
      <c r="F445" t="s">
        <v>47</v>
      </c>
      <c r="G445">
        <v>1</v>
      </c>
      <c r="H445">
        <v>46888</v>
      </c>
      <c r="I445">
        <v>9377.6</v>
      </c>
      <c r="J445" t="s">
        <v>29</v>
      </c>
      <c r="K445" t="s">
        <v>30</v>
      </c>
      <c r="L445" t="s">
        <v>20</v>
      </c>
      <c r="M445" t="s">
        <v>21</v>
      </c>
      <c r="N445">
        <v>37510.400000000001</v>
      </c>
    </row>
    <row r="446" spans="1:14" x14ac:dyDescent="0.3">
      <c r="A446" t="s">
        <v>486</v>
      </c>
      <c r="B446" s="1">
        <v>44984</v>
      </c>
      <c r="C446" t="s">
        <v>14</v>
      </c>
      <c r="D446" t="s">
        <v>40</v>
      </c>
      <c r="E446" t="s">
        <v>27</v>
      </c>
      <c r="F446" t="s">
        <v>28</v>
      </c>
      <c r="G446">
        <v>6</v>
      </c>
      <c r="H446">
        <v>23310</v>
      </c>
      <c r="I446">
        <v>27972</v>
      </c>
      <c r="J446" t="s">
        <v>50</v>
      </c>
      <c r="K446" t="s">
        <v>30</v>
      </c>
      <c r="L446" t="s">
        <v>23</v>
      </c>
      <c r="M446" t="s">
        <v>21</v>
      </c>
      <c r="N446">
        <v>111888</v>
      </c>
    </row>
    <row r="447" spans="1:14" x14ac:dyDescent="0.3">
      <c r="A447" t="s">
        <v>487</v>
      </c>
      <c r="B447" s="1">
        <v>45048</v>
      </c>
      <c r="C447" t="s">
        <v>46</v>
      </c>
      <c r="D447" t="s">
        <v>15</v>
      </c>
      <c r="E447" t="s">
        <v>16</v>
      </c>
      <c r="F447" t="s">
        <v>49</v>
      </c>
      <c r="G447">
        <v>2</v>
      </c>
      <c r="H447">
        <v>10954</v>
      </c>
      <c r="I447">
        <v>1095.4000000000001</v>
      </c>
      <c r="J447" t="s">
        <v>50</v>
      </c>
      <c r="K447" t="s">
        <v>19</v>
      </c>
      <c r="L447" t="s">
        <v>37</v>
      </c>
      <c r="M447" t="s">
        <v>33</v>
      </c>
      <c r="N447">
        <v>20812.599999999999</v>
      </c>
    </row>
    <row r="448" spans="1:14" x14ac:dyDescent="0.3">
      <c r="A448" t="s">
        <v>488</v>
      </c>
      <c r="B448" s="1">
        <v>44927</v>
      </c>
      <c r="C448" t="s">
        <v>39</v>
      </c>
      <c r="D448" t="s">
        <v>40</v>
      </c>
      <c r="E448" t="s">
        <v>16</v>
      </c>
      <c r="F448" t="s">
        <v>49</v>
      </c>
      <c r="G448">
        <v>1</v>
      </c>
      <c r="H448">
        <v>26855</v>
      </c>
      <c r="I448">
        <v>2685.5</v>
      </c>
      <c r="J448" t="s">
        <v>50</v>
      </c>
      <c r="K448" t="s">
        <v>41</v>
      </c>
      <c r="L448" t="s">
        <v>20</v>
      </c>
      <c r="M448" t="s">
        <v>33</v>
      </c>
      <c r="N448">
        <v>24169.5</v>
      </c>
    </row>
    <row r="449" spans="1:14" x14ac:dyDescent="0.3">
      <c r="A449" t="s">
        <v>489</v>
      </c>
      <c r="B449" s="1">
        <v>45165</v>
      </c>
      <c r="C449" t="s">
        <v>26</v>
      </c>
      <c r="D449" t="s">
        <v>15</v>
      </c>
      <c r="E449" t="s">
        <v>16</v>
      </c>
      <c r="F449" t="s">
        <v>49</v>
      </c>
      <c r="G449">
        <v>2</v>
      </c>
      <c r="H449">
        <v>43801</v>
      </c>
      <c r="I449">
        <v>13140.3</v>
      </c>
      <c r="J449" t="s">
        <v>29</v>
      </c>
      <c r="K449" t="s">
        <v>41</v>
      </c>
      <c r="L449" t="s">
        <v>20</v>
      </c>
      <c r="M449" t="s">
        <v>33</v>
      </c>
      <c r="N449">
        <v>74461.7</v>
      </c>
    </row>
    <row r="450" spans="1:14" x14ac:dyDescent="0.3">
      <c r="A450" t="s">
        <v>490</v>
      </c>
      <c r="B450" s="1">
        <v>45216</v>
      </c>
      <c r="C450" t="s">
        <v>39</v>
      </c>
      <c r="D450" t="s">
        <v>40</v>
      </c>
      <c r="E450" t="s">
        <v>16</v>
      </c>
      <c r="F450" t="s">
        <v>17</v>
      </c>
      <c r="G450">
        <v>6</v>
      </c>
      <c r="H450">
        <v>3314</v>
      </c>
      <c r="I450">
        <v>1988.4</v>
      </c>
      <c r="J450" t="s">
        <v>29</v>
      </c>
      <c r="K450" t="s">
        <v>41</v>
      </c>
      <c r="L450" t="s">
        <v>23</v>
      </c>
      <c r="M450" t="s">
        <v>33</v>
      </c>
      <c r="N450">
        <v>17895.599999999999</v>
      </c>
    </row>
    <row r="451" spans="1:14" x14ac:dyDescent="0.3">
      <c r="A451" t="s">
        <v>491</v>
      </c>
      <c r="B451" s="1">
        <v>45022</v>
      </c>
      <c r="C451" t="s">
        <v>39</v>
      </c>
      <c r="D451" t="s">
        <v>15</v>
      </c>
      <c r="E451" t="s">
        <v>44</v>
      </c>
      <c r="F451" t="s">
        <v>35</v>
      </c>
      <c r="G451">
        <v>4</v>
      </c>
      <c r="H451">
        <v>26702</v>
      </c>
      <c r="I451">
        <v>21361.600000000002</v>
      </c>
      <c r="J451" t="s">
        <v>36</v>
      </c>
      <c r="K451" t="s">
        <v>19</v>
      </c>
      <c r="L451" t="s">
        <v>20</v>
      </c>
      <c r="M451" t="s">
        <v>24</v>
      </c>
      <c r="N451">
        <v>85446.399999999994</v>
      </c>
    </row>
    <row r="452" spans="1:14" x14ac:dyDescent="0.3">
      <c r="A452" t="s">
        <v>492</v>
      </c>
      <c r="B452" s="1">
        <v>45052</v>
      </c>
      <c r="C452" t="s">
        <v>46</v>
      </c>
      <c r="D452" t="s">
        <v>15</v>
      </c>
      <c r="E452" t="s">
        <v>27</v>
      </c>
      <c r="F452" t="s">
        <v>28</v>
      </c>
      <c r="G452">
        <v>6</v>
      </c>
      <c r="H452">
        <v>49968</v>
      </c>
      <c r="I452">
        <v>44971.199999999997</v>
      </c>
      <c r="J452" t="s">
        <v>36</v>
      </c>
      <c r="K452" t="s">
        <v>41</v>
      </c>
      <c r="L452" t="s">
        <v>20</v>
      </c>
      <c r="M452" t="s">
        <v>33</v>
      </c>
      <c r="N452">
        <v>254836.8</v>
      </c>
    </row>
    <row r="453" spans="1:14" x14ac:dyDescent="0.3">
      <c r="A453" t="s">
        <v>493</v>
      </c>
      <c r="B453" s="1">
        <v>45044</v>
      </c>
      <c r="C453" t="s">
        <v>26</v>
      </c>
      <c r="D453" t="s">
        <v>40</v>
      </c>
      <c r="E453" t="s">
        <v>27</v>
      </c>
      <c r="F453" t="s">
        <v>47</v>
      </c>
      <c r="G453">
        <v>9</v>
      </c>
      <c r="H453">
        <v>48328</v>
      </c>
      <c r="I453">
        <v>43495.200000000004</v>
      </c>
      <c r="J453" t="s">
        <v>50</v>
      </c>
      <c r="K453" t="s">
        <v>30</v>
      </c>
      <c r="L453" t="s">
        <v>23</v>
      </c>
      <c r="M453" t="s">
        <v>24</v>
      </c>
      <c r="N453">
        <v>391456.8</v>
      </c>
    </row>
    <row r="454" spans="1:14" x14ac:dyDescent="0.3">
      <c r="A454" t="s">
        <v>494</v>
      </c>
      <c r="B454" s="1">
        <v>44974</v>
      </c>
      <c r="C454" t="s">
        <v>46</v>
      </c>
      <c r="D454" t="s">
        <v>15</v>
      </c>
      <c r="E454" t="s">
        <v>27</v>
      </c>
      <c r="F454" t="s">
        <v>47</v>
      </c>
      <c r="G454">
        <v>8</v>
      </c>
      <c r="H454">
        <v>20228</v>
      </c>
      <c r="I454">
        <v>0</v>
      </c>
      <c r="J454" t="s">
        <v>50</v>
      </c>
      <c r="K454" t="s">
        <v>19</v>
      </c>
      <c r="L454" t="s">
        <v>20</v>
      </c>
      <c r="M454" t="s">
        <v>33</v>
      </c>
      <c r="N454">
        <v>161824</v>
      </c>
    </row>
    <row r="455" spans="1:14" x14ac:dyDescent="0.3">
      <c r="A455" t="s">
        <v>495</v>
      </c>
      <c r="B455" s="1">
        <v>45015</v>
      </c>
      <c r="C455" t="s">
        <v>26</v>
      </c>
      <c r="D455" t="s">
        <v>15</v>
      </c>
      <c r="E455" t="s">
        <v>16</v>
      </c>
      <c r="F455" t="s">
        <v>35</v>
      </c>
      <c r="G455">
        <v>1</v>
      </c>
      <c r="H455">
        <v>17787</v>
      </c>
      <c r="I455">
        <v>889.35</v>
      </c>
      <c r="J455" t="s">
        <v>18</v>
      </c>
      <c r="K455" t="s">
        <v>30</v>
      </c>
      <c r="L455" t="s">
        <v>23</v>
      </c>
      <c r="M455" t="s">
        <v>33</v>
      </c>
      <c r="N455">
        <v>16897.6499999999</v>
      </c>
    </row>
    <row r="456" spans="1:14" x14ac:dyDescent="0.3">
      <c r="A456" t="s">
        <v>496</v>
      </c>
      <c r="B456" s="1">
        <v>45163</v>
      </c>
      <c r="C456" t="s">
        <v>32</v>
      </c>
      <c r="D456" t="s">
        <v>15</v>
      </c>
      <c r="E456" t="s">
        <v>44</v>
      </c>
      <c r="F456" t="s">
        <v>49</v>
      </c>
      <c r="G456">
        <v>8</v>
      </c>
      <c r="H456">
        <v>42919</v>
      </c>
      <c r="I456">
        <v>34335.200000000004</v>
      </c>
      <c r="J456" t="s">
        <v>50</v>
      </c>
      <c r="K456" t="s">
        <v>30</v>
      </c>
      <c r="L456" t="s">
        <v>23</v>
      </c>
      <c r="M456" t="s">
        <v>21</v>
      </c>
      <c r="N456">
        <v>309016.8</v>
      </c>
    </row>
    <row r="457" spans="1:14" x14ac:dyDescent="0.3">
      <c r="A457" t="s">
        <v>497</v>
      </c>
      <c r="B457" s="1">
        <v>45198</v>
      </c>
      <c r="C457" t="s">
        <v>26</v>
      </c>
      <c r="D457" t="s">
        <v>40</v>
      </c>
      <c r="E457" t="s">
        <v>27</v>
      </c>
      <c r="F457" t="s">
        <v>28</v>
      </c>
      <c r="G457">
        <v>9</v>
      </c>
      <c r="H457">
        <v>35533</v>
      </c>
      <c r="I457">
        <v>31979.7</v>
      </c>
      <c r="J457" t="s">
        <v>36</v>
      </c>
      <c r="K457" t="s">
        <v>19</v>
      </c>
      <c r="L457" t="s">
        <v>23</v>
      </c>
      <c r="M457" t="s">
        <v>24</v>
      </c>
      <c r="N457">
        <v>287817.3</v>
      </c>
    </row>
    <row r="458" spans="1:14" x14ac:dyDescent="0.3">
      <c r="A458" t="s">
        <v>498</v>
      </c>
      <c r="B458" s="1">
        <v>45115</v>
      </c>
      <c r="C458" t="s">
        <v>46</v>
      </c>
      <c r="D458" t="s">
        <v>40</v>
      </c>
      <c r="E458" t="s">
        <v>44</v>
      </c>
      <c r="F458" t="s">
        <v>47</v>
      </c>
      <c r="G458">
        <v>6</v>
      </c>
      <c r="H458">
        <v>3374</v>
      </c>
      <c r="I458">
        <v>0</v>
      </c>
      <c r="J458" t="s">
        <v>36</v>
      </c>
      <c r="K458" t="s">
        <v>30</v>
      </c>
      <c r="L458" t="s">
        <v>23</v>
      </c>
      <c r="M458" t="s">
        <v>21</v>
      </c>
      <c r="N458">
        <v>20244</v>
      </c>
    </row>
    <row r="459" spans="1:14" x14ac:dyDescent="0.3">
      <c r="A459" t="s">
        <v>499</v>
      </c>
      <c r="B459" s="1">
        <v>45118</v>
      </c>
      <c r="C459" t="s">
        <v>39</v>
      </c>
      <c r="D459" t="s">
        <v>15</v>
      </c>
      <c r="E459" t="s">
        <v>16</v>
      </c>
      <c r="F459" t="s">
        <v>47</v>
      </c>
      <c r="G459">
        <v>5</v>
      </c>
      <c r="H459">
        <v>35598</v>
      </c>
      <c r="I459">
        <v>35598</v>
      </c>
      <c r="J459" t="s">
        <v>36</v>
      </c>
      <c r="K459" t="s">
        <v>41</v>
      </c>
      <c r="L459" t="s">
        <v>23</v>
      </c>
      <c r="M459" t="s">
        <v>33</v>
      </c>
      <c r="N459">
        <v>142392</v>
      </c>
    </row>
    <row r="460" spans="1:14" x14ac:dyDescent="0.3">
      <c r="A460" t="s">
        <v>500</v>
      </c>
      <c r="B460" s="1">
        <v>44995</v>
      </c>
      <c r="C460" t="s">
        <v>26</v>
      </c>
      <c r="D460" t="s">
        <v>15</v>
      </c>
      <c r="E460" t="s">
        <v>27</v>
      </c>
      <c r="F460" t="s">
        <v>49</v>
      </c>
      <c r="G460">
        <v>6</v>
      </c>
      <c r="H460">
        <v>36129</v>
      </c>
      <c r="I460">
        <v>10838.7</v>
      </c>
      <c r="J460" t="s">
        <v>29</v>
      </c>
      <c r="K460" t="s">
        <v>19</v>
      </c>
      <c r="L460" t="s">
        <v>37</v>
      </c>
      <c r="M460" t="s">
        <v>24</v>
      </c>
      <c r="N460">
        <v>205935.3</v>
      </c>
    </row>
    <row r="461" spans="1:14" x14ac:dyDescent="0.3">
      <c r="A461" t="s">
        <v>501</v>
      </c>
      <c r="B461" s="1">
        <v>45204</v>
      </c>
      <c r="C461" t="s">
        <v>26</v>
      </c>
      <c r="D461" t="s">
        <v>40</v>
      </c>
      <c r="E461" t="s">
        <v>44</v>
      </c>
      <c r="F461" t="s">
        <v>35</v>
      </c>
      <c r="G461">
        <v>6</v>
      </c>
      <c r="H461">
        <v>4521</v>
      </c>
      <c r="I461">
        <v>2712.6000000000004</v>
      </c>
      <c r="J461" t="s">
        <v>29</v>
      </c>
      <c r="K461" t="s">
        <v>30</v>
      </c>
      <c r="L461" t="s">
        <v>37</v>
      </c>
      <c r="M461" t="s">
        <v>33</v>
      </c>
      <c r="N461">
        <v>24413.4</v>
      </c>
    </row>
    <row r="462" spans="1:14" x14ac:dyDescent="0.3">
      <c r="A462" t="s">
        <v>502</v>
      </c>
      <c r="B462" s="1">
        <v>45275</v>
      </c>
      <c r="C462" t="s">
        <v>14</v>
      </c>
      <c r="D462" t="s">
        <v>40</v>
      </c>
      <c r="E462" t="s">
        <v>16</v>
      </c>
      <c r="F462" t="s">
        <v>28</v>
      </c>
      <c r="G462">
        <v>9</v>
      </c>
      <c r="H462">
        <v>30635</v>
      </c>
      <c r="I462">
        <v>41357.25</v>
      </c>
      <c r="J462" t="s">
        <v>50</v>
      </c>
      <c r="K462" t="s">
        <v>41</v>
      </c>
      <c r="L462" t="s">
        <v>23</v>
      </c>
      <c r="M462" t="s">
        <v>21</v>
      </c>
      <c r="N462">
        <v>234357.75</v>
      </c>
    </row>
    <row r="463" spans="1:14" x14ac:dyDescent="0.3">
      <c r="A463" t="s">
        <v>503</v>
      </c>
      <c r="B463" s="1">
        <v>45173</v>
      </c>
      <c r="C463" t="s">
        <v>39</v>
      </c>
      <c r="D463" t="s">
        <v>15</v>
      </c>
      <c r="E463" t="s">
        <v>44</v>
      </c>
      <c r="F463" t="s">
        <v>35</v>
      </c>
      <c r="G463">
        <v>4</v>
      </c>
      <c r="H463">
        <v>46172</v>
      </c>
      <c r="I463">
        <v>18468.8</v>
      </c>
      <c r="J463" t="s">
        <v>18</v>
      </c>
      <c r="K463" t="s">
        <v>41</v>
      </c>
      <c r="L463" t="s">
        <v>37</v>
      </c>
      <c r="M463" t="s">
        <v>24</v>
      </c>
      <c r="N463">
        <v>166219.20000000001</v>
      </c>
    </row>
    <row r="464" spans="1:14" x14ac:dyDescent="0.3">
      <c r="A464" t="s">
        <v>504</v>
      </c>
      <c r="B464" s="1">
        <v>45002</v>
      </c>
      <c r="C464" t="s">
        <v>32</v>
      </c>
      <c r="D464" t="s">
        <v>15</v>
      </c>
      <c r="E464" t="s">
        <v>27</v>
      </c>
      <c r="F464" t="s">
        <v>35</v>
      </c>
      <c r="G464">
        <v>2</v>
      </c>
      <c r="H464">
        <v>7299</v>
      </c>
      <c r="I464">
        <v>729.90000000000009</v>
      </c>
      <c r="J464" t="s">
        <v>18</v>
      </c>
      <c r="K464" t="s">
        <v>30</v>
      </c>
      <c r="L464" t="s">
        <v>37</v>
      </c>
      <c r="M464" t="s">
        <v>21</v>
      </c>
      <c r="N464">
        <v>13868.0999999999</v>
      </c>
    </row>
    <row r="465" spans="1:14" x14ac:dyDescent="0.3">
      <c r="A465" t="s">
        <v>505</v>
      </c>
      <c r="B465" s="1">
        <v>45080</v>
      </c>
      <c r="C465" t="s">
        <v>46</v>
      </c>
      <c r="D465" t="s">
        <v>15</v>
      </c>
      <c r="E465" t="s">
        <v>27</v>
      </c>
      <c r="F465" t="s">
        <v>28</v>
      </c>
      <c r="G465">
        <v>9</v>
      </c>
      <c r="H465">
        <v>23960</v>
      </c>
      <c r="I465">
        <v>21564</v>
      </c>
      <c r="J465" t="s">
        <v>18</v>
      </c>
      <c r="K465" t="s">
        <v>41</v>
      </c>
      <c r="L465" t="s">
        <v>20</v>
      </c>
      <c r="M465" t="s">
        <v>33</v>
      </c>
      <c r="N465">
        <v>194076</v>
      </c>
    </row>
    <row r="466" spans="1:14" x14ac:dyDescent="0.3">
      <c r="A466" t="s">
        <v>506</v>
      </c>
      <c r="B466" s="1">
        <v>45070</v>
      </c>
      <c r="C466" t="s">
        <v>32</v>
      </c>
      <c r="D466" t="s">
        <v>43</v>
      </c>
      <c r="E466" t="s">
        <v>16</v>
      </c>
      <c r="F466" t="s">
        <v>28</v>
      </c>
      <c r="G466">
        <v>2</v>
      </c>
      <c r="H466">
        <v>11560</v>
      </c>
      <c r="I466">
        <v>0</v>
      </c>
      <c r="J466" t="s">
        <v>29</v>
      </c>
      <c r="K466" t="s">
        <v>19</v>
      </c>
      <c r="L466" t="s">
        <v>23</v>
      </c>
      <c r="M466" t="s">
        <v>33</v>
      </c>
      <c r="N466">
        <v>23120</v>
      </c>
    </row>
    <row r="467" spans="1:14" x14ac:dyDescent="0.3">
      <c r="A467" t="s">
        <v>507</v>
      </c>
      <c r="B467" s="1">
        <v>45012</v>
      </c>
      <c r="C467" t="s">
        <v>39</v>
      </c>
      <c r="D467" t="s">
        <v>40</v>
      </c>
      <c r="E467" t="s">
        <v>16</v>
      </c>
      <c r="F467" t="s">
        <v>47</v>
      </c>
      <c r="G467">
        <v>9</v>
      </c>
      <c r="H467">
        <v>10513</v>
      </c>
      <c r="I467">
        <v>9461.7000000000007</v>
      </c>
      <c r="J467" t="s">
        <v>36</v>
      </c>
      <c r="K467" t="s">
        <v>30</v>
      </c>
      <c r="L467" t="s">
        <v>37</v>
      </c>
      <c r="M467" t="s">
        <v>33</v>
      </c>
      <c r="N467">
        <v>85155.3</v>
      </c>
    </row>
    <row r="468" spans="1:14" x14ac:dyDescent="0.3">
      <c r="A468" t="s">
        <v>508</v>
      </c>
      <c r="B468" s="1">
        <v>45111</v>
      </c>
      <c r="C468" t="s">
        <v>26</v>
      </c>
      <c r="D468" t="s">
        <v>43</v>
      </c>
      <c r="E468" t="s">
        <v>16</v>
      </c>
      <c r="F468" t="s">
        <v>47</v>
      </c>
      <c r="G468">
        <v>2</v>
      </c>
      <c r="H468">
        <v>46470</v>
      </c>
      <c r="I468">
        <v>9294</v>
      </c>
      <c r="J468" t="s">
        <v>36</v>
      </c>
      <c r="K468" t="s">
        <v>41</v>
      </c>
      <c r="L468" t="s">
        <v>20</v>
      </c>
      <c r="M468" t="s">
        <v>24</v>
      </c>
      <c r="N468">
        <v>83646</v>
      </c>
    </row>
    <row r="469" spans="1:14" x14ac:dyDescent="0.3">
      <c r="A469" t="s">
        <v>509</v>
      </c>
      <c r="B469" s="1">
        <v>45211</v>
      </c>
      <c r="C469" t="s">
        <v>26</v>
      </c>
      <c r="D469" t="s">
        <v>40</v>
      </c>
      <c r="E469" t="s">
        <v>44</v>
      </c>
      <c r="F469" t="s">
        <v>28</v>
      </c>
      <c r="G469">
        <v>8</v>
      </c>
      <c r="H469">
        <v>20662</v>
      </c>
      <c r="I469">
        <v>24794.399999999998</v>
      </c>
      <c r="J469" t="s">
        <v>29</v>
      </c>
      <c r="K469" t="s">
        <v>41</v>
      </c>
      <c r="L469" t="s">
        <v>20</v>
      </c>
      <c r="M469" t="s">
        <v>21</v>
      </c>
      <c r="N469">
        <v>140501.6</v>
      </c>
    </row>
    <row r="470" spans="1:14" x14ac:dyDescent="0.3">
      <c r="A470" t="s">
        <v>510</v>
      </c>
      <c r="B470" s="1">
        <v>45146</v>
      </c>
      <c r="C470" t="s">
        <v>39</v>
      </c>
      <c r="D470" t="s">
        <v>40</v>
      </c>
      <c r="E470" t="s">
        <v>44</v>
      </c>
      <c r="F470" t="s">
        <v>17</v>
      </c>
      <c r="G470">
        <v>9</v>
      </c>
      <c r="H470">
        <v>6001</v>
      </c>
      <c r="I470">
        <v>0</v>
      </c>
      <c r="J470" t="s">
        <v>18</v>
      </c>
      <c r="K470" t="s">
        <v>30</v>
      </c>
      <c r="L470" t="s">
        <v>23</v>
      </c>
      <c r="M470" t="s">
        <v>21</v>
      </c>
      <c r="N470">
        <v>54009</v>
      </c>
    </row>
    <row r="471" spans="1:14" x14ac:dyDescent="0.3">
      <c r="A471" t="s">
        <v>511</v>
      </c>
      <c r="B471" s="1">
        <v>44995</v>
      </c>
      <c r="C471" t="s">
        <v>26</v>
      </c>
      <c r="D471" t="s">
        <v>40</v>
      </c>
      <c r="E471" t="s">
        <v>44</v>
      </c>
      <c r="F471" t="s">
        <v>47</v>
      </c>
      <c r="G471">
        <v>9</v>
      </c>
      <c r="H471">
        <v>14330</v>
      </c>
      <c r="I471">
        <v>0</v>
      </c>
      <c r="J471" t="s">
        <v>18</v>
      </c>
      <c r="K471" t="s">
        <v>30</v>
      </c>
      <c r="L471" t="s">
        <v>23</v>
      </c>
      <c r="M471" t="s">
        <v>33</v>
      </c>
      <c r="N471">
        <v>128970</v>
      </c>
    </row>
    <row r="472" spans="1:14" x14ac:dyDescent="0.3">
      <c r="A472" t="s">
        <v>512</v>
      </c>
      <c r="B472" s="1">
        <v>44973</v>
      </c>
      <c r="C472" t="s">
        <v>26</v>
      </c>
      <c r="D472" t="s">
        <v>40</v>
      </c>
      <c r="E472" t="s">
        <v>16</v>
      </c>
      <c r="F472" t="s">
        <v>17</v>
      </c>
      <c r="G472">
        <v>9</v>
      </c>
      <c r="H472">
        <v>14471</v>
      </c>
      <c r="I472">
        <v>13023.900000000001</v>
      </c>
      <c r="J472" t="s">
        <v>50</v>
      </c>
      <c r="K472" t="s">
        <v>30</v>
      </c>
      <c r="L472" t="s">
        <v>20</v>
      </c>
      <c r="M472" t="s">
        <v>21</v>
      </c>
      <c r="N472">
        <v>117215.1</v>
      </c>
    </row>
    <row r="473" spans="1:14" x14ac:dyDescent="0.3">
      <c r="A473" t="s">
        <v>513</v>
      </c>
      <c r="B473" s="1">
        <v>45020</v>
      </c>
      <c r="C473" t="s">
        <v>26</v>
      </c>
      <c r="D473" t="s">
        <v>40</v>
      </c>
      <c r="E473" t="s">
        <v>27</v>
      </c>
      <c r="F473" t="s">
        <v>28</v>
      </c>
      <c r="G473">
        <v>2</v>
      </c>
      <c r="H473">
        <v>16275</v>
      </c>
      <c r="I473">
        <v>4882.5</v>
      </c>
      <c r="J473" t="s">
        <v>50</v>
      </c>
      <c r="K473" t="s">
        <v>30</v>
      </c>
      <c r="L473" t="s">
        <v>23</v>
      </c>
      <c r="M473" t="s">
        <v>24</v>
      </c>
      <c r="N473">
        <v>27667.5</v>
      </c>
    </row>
    <row r="474" spans="1:14" x14ac:dyDescent="0.3">
      <c r="A474" t="s">
        <v>514</v>
      </c>
      <c r="B474" s="1">
        <v>45164</v>
      </c>
      <c r="C474" t="s">
        <v>46</v>
      </c>
      <c r="D474" t="s">
        <v>40</v>
      </c>
      <c r="E474" t="s">
        <v>27</v>
      </c>
      <c r="F474" t="s">
        <v>47</v>
      </c>
      <c r="G474">
        <v>4</v>
      </c>
      <c r="H474">
        <v>37119</v>
      </c>
      <c r="I474">
        <v>14847.6</v>
      </c>
      <c r="J474" t="s">
        <v>18</v>
      </c>
      <c r="K474" t="s">
        <v>19</v>
      </c>
      <c r="L474" t="s">
        <v>23</v>
      </c>
      <c r="M474" t="s">
        <v>33</v>
      </c>
      <c r="N474">
        <v>133628.4</v>
      </c>
    </row>
    <row r="475" spans="1:14" x14ac:dyDescent="0.3">
      <c r="A475" t="s">
        <v>515</v>
      </c>
      <c r="B475" s="1">
        <v>45130</v>
      </c>
      <c r="C475" t="s">
        <v>46</v>
      </c>
      <c r="D475" t="s">
        <v>40</v>
      </c>
      <c r="E475" t="s">
        <v>44</v>
      </c>
      <c r="F475" t="s">
        <v>35</v>
      </c>
      <c r="G475">
        <v>7</v>
      </c>
      <c r="H475">
        <v>41879</v>
      </c>
      <c r="I475">
        <v>29315.300000000003</v>
      </c>
      <c r="J475" t="s">
        <v>29</v>
      </c>
      <c r="K475" t="s">
        <v>30</v>
      </c>
      <c r="L475" t="s">
        <v>20</v>
      </c>
      <c r="M475" t="s">
        <v>33</v>
      </c>
      <c r="N475">
        <v>263837.7</v>
      </c>
    </row>
    <row r="476" spans="1:14" x14ac:dyDescent="0.3">
      <c r="A476" t="s">
        <v>516</v>
      </c>
      <c r="B476" s="1">
        <v>45144</v>
      </c>
      <c r="C476" t="s">
        <v>14</v>
      </c>
      <c r="D476" t="s">
        <v>43</v>
      </c>
      <c r="E476" t="s">
        <v>44</v>
      </c>
      <c r="F476" t="s">
        <v>28</v>
      </c>
      <c r="G476">
        <v>2</v>
      </c>
      <c r="H476">
        <v>19184</v>
      </c>
      <c r="I476">
        <v>1918.4</v>
      </c>
      <c r="J476" t="s">
        <v>18</v>
      </c>
      <c r="K476" t="s">
        <v>19</v>
      </c>
      <c r="L476" t="s">
        <v>20</v>
      </c>
      <c r="M476" t="s">
        <v>33</v>
      </c>
      <c r="N476">
        <v>36449.599999999999</v>
      </c>
    </row>
    <row r="477" spans="1:14" x14ac:dyDescent="0.3">
      <c r="A477" t="s">
        <v>517</v>
      </c>
      <c r="B477" s="1">
        <v>45267</v>
      </c>
      <c r="C477" t="s">
        <v>32</v>
      </c>
      <c r="D477" t="s">
        <v>15</v>
      </c>
      <c r="E477" t="s">
        <v>27</v>
      </c>
      <c r="F477" t="s">
        <v>49</v>
      </c>
      <c r="G477">
        <v>1</v>
      </c>
      <c r="H477">
        <v>22759</v>
      </c>
      <c r="I477">
        <v>1137.95</v>
      </c>
      <c r="J477" t="s">
        <v>50</v>
      </c>
      <c r="K477" t="s">
        <v>19</v>
      </c>
      <c r="L477" t="s">
        <v>23</v>
      </c>
      <c r="M477" t="s">
        <v>24</v>
      </c>
      <c r="N477">
        <v>21621.05</v>
      </c>
    </row>
    <row r="478" spans="1:14" x14ac:dyDescent="0.3">
      <c r="A478" t="s">
        <v>518</v>
      </c>
      <c r="B478" s="1">
        <v>44965</v>
      </c>
      <c r="C478" t="s">
        <v>39</v>
      </c>
      <c r="D478" t="s">
        <v>15</v>
      </c>
      <c r="E478" t="s">
        <v>27</v>
      </c>
      <c r="F478" t="s">
        <v>17</v>
      </c>
      <c r="G478">
        <v>3</v>
      </c>
      <c r="H478">
        <v>13061</v>
      </c>
      <c r="I478">
        <v>5877.45</v>
      </c>
      <c r="J478" t="s">
        <v>18</v>
      </c>
      <c r="K478" t="s">
        <v>30</v>
      </c>
      <c r="L478" t="s">
        <v>37</v>
      </c>
      <c r="M478" t="s">
        <v>33</v>
      </c>
      <c r="N478">
        <v>33305.549999999901</v>
      </c>
    </row>
    <row r="479" spans="1:14" x14ac:dyDescent="0.3">
      <c r="A479" t="s">
        <v>519</v>
      </c>
      <c r="B479" s="1">
        <v>45026</v>
      </c>
      <c r="C479" t="s">
        <v>39</v>
      </c>
      <c r="D479" t="s">
        <v>43</v>
      </c>
      <c r="E479" t="s">
        <v>44</v>
      </c>
      <c r="F479" t="s">
        <v>28</v>
      </c>
      <c r="G479">
        <v>4</v>
      </c>
      <c r="H479">
        <v>33634</v>
      </c>
      <c r="I479">
        <v>26907.200000000001</v>
      </c>
      <c r="J479" t="s">
        <v>29</v>
      </c>
      <c r="K479" t="s">
        <v>19</v>
      </c>
      <c r="L479" t="s">
        <v>23</v>
      </c>
      <c r="M479" t="s">
        <v>33</v>
      </c>
      <c r="N479">
        <v>107628.8</v>
      </c>
    </row>
    <row r="480" spans="1:14" x14ac:dyDescent="0.3">
      <c r="A480" t="s">
        <v>520</v>
      </c>
      <c r="B480" s="1">
        <v>45215</v>
      </c>
      <c r="C480" t="s">
        <v>39</v>
      </c>
      <c r="D480" t="s">
        <v>43</v>
      </c>
      <c r="E480" t="s">
        <v>44</v>
      </c>
      <c r="F480" t="s">
        <v>28</v>
      </c>
      <c r="G480">
        <v>8</v>
      </c>
      <c r="H480">
        <v>16867</v>
      </c>
      <c r="I480">
        <v>6746.8</v>
      </c>
      <c r="J480" t="s">
        <v>36</v>
      </c>
      <c r="K480" t="s">
        <v>30</v>
      </c>
      <c r="L480" t="s">
        <v>37</v>
      </c>
      <c r="M480" t="s">
        <v>33</v>
      </c>
      <c r="N480">
        <v>128189.2</v>
      </c>
    </row>
    <row r="481" spans="1:14" x14ac:dyDescent="0.3">
      <c r="A481" t="s">
        <v>521</v>
      </c>
      <c r="B481" s="1">
        <v>45180</v>
      </c>
      <c r="C481" t="s">
        <v>14</v>
      </c>
      <c r="D481" t="s">
        <v>43</v>
      </c>
      <c r="E481" t="s">
        <v>27</v>
      </c>
      <c r="F481" t="s">
        <v>47</v>
      </c>
      <c r="G481">
        <v>6</v>
      </c>
      <c r="H481">
        <v>6040</v>
      </c>
      <c r="I481">
        <v>7248</v>
      </c>
      <c r="J481" t="s">
        <v>29</v>
      </c>
      <c r="K481" t="s">
        <v>30</v>
      </c>
      <c r="L481" t="s">
        <v>20</v>
      </c>
      <c r="M481" t="s">
        <v>33</v>
      </c>
      <c r="N481">
        <v>28992</v>
      </c>
    </row>
    <row r="482" spans="1:14" x14ac:dyDescent="0.3">
      <c r="A482" t="s">
        <v>522</v>
      </c>
      <c r="B482" s="1">
        <v>45148</v>
      </c>
      <c r="C482" t="s">
        <v>46</v>
      </c>
      <c r="D482" t="s">
        <v>43</v>
      </c>
      <c r="E482" t="s">
        <v>16</v>
      </c>
      <c r="F482" t="s">
        <v>47</v>
      </c>
      <c r="G482">
        <v>2</v>
      </c>
      <c r="H482">
        <v>3765</v>
      </c>
      <c r="I482">
        <v>0</v>
      </c>
      <c r="J482" t="s">
        <v>29</v>
      </c>
      <c r="K482" t="s">
        <v>41</v>
      </c>
      <c r="L482" t="s">
        <v>37</v>
      </c>
      <c r="M482" t="s">
        <v>21</v>
      </c>
      <c r="N482">
        <v>7530</v>
      </c>
    </row>
    <row r="483" spans="1:14" x14ac:dyDescent="0.3">
      <c r="A483" t="s">
        <v>523</v>
      </c>
      <c r="B483" s="1">
        <v>45283</v>
      </c>
      <c r="C483" t="s">
        <v>14</v>
      </c>
      <c r="D483" t="s">
        <v>40</v>
      </c>
      <c r="E483" t="s">
        <v>44</v>
      </c>
      <c r="F483" t="s">
        <v>47</v>
      </c>
      <c r="G483">
        <v>9</v>
      </c>
      <c r="H483">
        <v>43394</v>
      </c>
      <c r="I483">
        <v>19527.3</v>
      </c>
      <c r="J483" t="s">
        <v>50</v>
      </c>
      <c r="K483" t="s">
        <v>30</v>
      </c>
      <c r="L483" t="s">
        <v>20</v>
      </c>
      <c r="M483" t="s">
        <v>33</v>
      </c>
      <c r="N483">
        <v>371018.7</v>
      </c>
    </row>
    <row r="484" spans="1:14" x14ac:dyDescent="0.3">
      <c r="A484" t="s">
        <v>524</v>
      </c>
      <c r="B484" s="1">
        <v>44949</v>
      </c>
      <c r="C484" t="s">
        <v>39</v>
      </c>
      <c r="D484" t="s">
        <v>15</v>
      </c>
      <c r="E484" t="s">
        <v>27</v>
      </c>
      <c r="F484" t="s">
        <v>49</v>
      </c>
      <c r="G484">
        <v>2</v>
      </c>
      <c r="H484">
        <v>21177</v>
      </c>
      <c r="I484">
        <v>2117.7000000000003</v>
      </c>
      <c r="J484" t="s">
        <v>29</v>
      </c>
      <c r="K484" t="s">
        <v>41</v>
      </c>
      <c r="L484" t="s">
        <v>23</v>
      </c>
      <c r="M484" t="s">
        <v>24</v>
      </c>
      <c r="N484">
        <v>40236.299999999901</v>
      </c>
    </row>
    <row r="485" spans="1:14" x14ac:dyDescent="0.3">
      <c r="A485" t="s">
        <v>525</v>
      </c>
      <c r="B485" s="1">
        <v>45176</v>
      </c>
      <c r="C485" t="s">
        <v>32</v>
      </c>
      <c r="D485" t="s">
        <v>40</v>
      </c>
      <c r="E485" t="s">
        <v>27</v>
      </c>
      <c r="F485" t="s">
        <v>47</v>
      </c>
      <c r="G485">
        <v>5</v>
      </c>
      <c r="H485">
        <v>21318</v>
      </c>
      <c r="I485">
        <v>15988.5</v>
      </c>
      <c r="J485" t="s">
        <v>29</v>
      </c>
      <c r="K485" t="s">
        <v>19</v>
      </c>
      <c r="L485" t="s">
        <v>23</v>
      </c>
      <c r="M485" t="s">
        <v>33</v>
      </c>
      <c r="N485">
        <v>90601.5</v>
      </c>
    </row>
    <row r="486" spans="1:14" x14ac:dyDescent="0.3">
      <c r="A486" t="s">
        <v>526</v>
      </c>
      <c r="B486" s="1">
        <v>44936</v>
      </c>
      <c r="C486" t="s">
        <v>26</v>
      </c>
      <c r="D486" t="s">
        <v>15</v>
      </c>
      <c r="E486" t="s">
        <v>27</v>
      </c>
      <c r="F486" t="s">
        <v>28</v>
      </c>
      <c r="G486">
        <v>4</v>
      </c>
      <c r="H486">
        <v>22841</v>
      </c>
      <c r="I486">
        <v>18272.8</v>
      </c>
      <c r="J486" t="s">
        <v>50</v>
      </c>
      <c r="K486" t="s">
        <v>41</v>
      </c>
      <c r="L486" t="s">
        <v>20</v>
      </c>
      <c r="M486" t="s">
        <v>33</v>
      </c>
      <c r="N486">
        <v>73091.199999999997</v>
      </c>
    </row>
    <row r="487" spans="1:14" x14ac:dyDescent="0.3">
      <c r="A487" t="s">
        <v>527</v>
      </c>
      <c r="B487" s="1">
        <v>45172</v>
      </c>
      <c r="C487" t="s">
        <v>46</v>
      </c>
      <c r="D487" t="s">
        <v>15</v>
      </c>
      <c r="E487" t="s">
        <v>27</v>
      </c>
      <c r="F487" t="s">
        <v>47</v>
      </c>
      <c r="G487">
        <v>7</v>
      </c>
      <c r="H487">
        <v>7566</v>
      </c>
      <c r="I487">
        <v>2648.1000000000004</v>
      </c>
      <c r="J487" t="s">
        <v>50</v>
      </c>
      <c r="K487" t="s">
        <v>19</v>
      </c>
      <c r="L487" t="s">
        <v>20</v>
      </c>
      <c r="M487" t="s">
        <v>21</v>
      </c>
      <c r="N487">
        <v>50313.8999999999</v>
      </c>
    </row>
    <row r="488" spans="1:14" x14ac:dyDescent="0.3">
      <c r="A488" t="s">
        <v>528</v>
      </c>
      <c r="B488" s="1">
        <v>45251</v>
      </c>
      <c r="C488" t="s">
        <v>46</v>
      </c>
      <c r="D488" t="s">
        <v>43</v>
      </c>
      <c r="E488" t="s">
        <v>16</v>
      </c>
      <c r="F488" t="s">
        <v>35</v>
      </c>
      <c r="G488">
        <v>8</v>
      </c>
      <c r="H488">
        <v>26836</v>
      </c>
      <c r="I488">
        <v>10734.400000000001</v>
      </c>
      <c r="J488" t="s">
        <v>36</v>
      </c>
      <c r="K488" t="s">
        <v>30</v>
      </c>
      <c r="L488" t="s">
        <v>20</v>
      </c>
      <c r="M488" t="s">
        <v>33</v>
      </c>
      <c r="N488">
        <v>203953.59999999899</v>
      </c>
    </row>
    <row r="489" spans="1:14" x14ac:dyDescent="0.3">
      <c r="A489" t="s">
        <v>529</v>
      </c>
      <c r="B489" s="1">
        <v>45026</v>
      </c>
      <c r="C489" t="s">
        <v>14</v>
      </c>
      <c r="D489" t="s">
        <v>40</v>
      </c>
      <c r="E489" t="s">
        <v>27</v>
      </c>
      <c r="F489" t="s">
        <v>47</v>
      </c>
      <c r="G489">
        <v>5</v>
      </c>
      <c r="H489">
        <v>15830</v>
      </c>
      <c r="I489">
        <v>11872.5</v>
      </c>
      <c r="J489" t="s">
        <v>18</v>
      </c>
      <c r="K489" t="s">
        <v>19</v>
      </c>
      <c r="L489" t="s">
        <v>23</v>
      </c>
      <c r="M489" t="s">
        <v>21</v>
      </c>
      <c r="N489">
        <v>67277.5</v>
      </c>
    </row>
    <row r="490" spans="1:14" x14ac:dyDescent="0.3">
      <c r="A490" t="s">
        <v>530</v>
      </c>
      <c r="B490" s="1">
        <v>45216</v>
      </c>
      <c r="C490" t="s">
        <v>46</v>
      </c>
      <c r="D490" t="s">
        <v>43</v>
      </c>
      <c r="E490" t="s">
        <v>44</v>
      </c>
      <c r="F490" t="s">
        <v>49</v>
      </c>
      <c r="G490">
        <v>5</v>
      </c>
      <c r="H490">
        <v>20256</v>
      </c>
      <c r="I490">
        <v>15192</v>
      </c>
      <c r="J490" t="s">
        <v>29</v>
      </c>
      <c r="K490" t="s">
        <v>19</v>
      </c>
      <c r="L490" t="s">
        <v>23</v>
      </c>
      <c r="M490" t="s">
        <v>24</v>
      </c>
      <c r="N490">
        <v>86088</v>
      </c>
    </row>
    <row r="491" spans="1:14" x14ac:dyDescent="0.3">
      <c r="A491" t="s">
        <v>531</v>
      </c>
      <c r="B491" s="1">
        <v>45106</v>
      </c>
      <c r="C491" t="s">
        <v>39</v>
      </c>
      <c r="D491" t="s">
        <v>40</v>
      </c>
      <c r="E491" t="s">
        <v>16</v>
      </c>
      <c r="F491" t="s">
        <v>35</v>
      </c>
      <c r="G491">
        <v>2</v>
      </c>
      <c r="H491">
        <v>7582</v>
      </c>
      <c r="I491">
        <v>3032.8</v>
      </c>
      <c r="J491" t="s">
        <v>50</v>
      </c>
      <c r="K491" t="s">
        <v>30</v>
      </c>
      <c r="L491" t="s">
        <v>37</v>
      </c>
      <c r="M491" t="s">
        <v>21</v>
      </c>
      <c r="N491">
        <v>12131.2</v>
      </c>
    </row>
    <row r="492" spans="1:14" x14ac:dyDescent="0.3">
      <c r="A492" t="s">
        <v>532</v>
      </c>
      <c r="B492" s="1">
        <v>45149</v>
      </c>
      <c r="C492" t="s">
        <v>39</v>
      </c>
      <c r="D492" t="s">
        <v>15</v>
      </c>
      <c r="E492" t="s">
        <v>27</v>
      </c>
      <c r="F492" t="s">
        <v>28</v>
      </c>
      <c r="G492">
        <v>8</v>
      </c>
      <c r="H492">
        <v>16349</v>
      </c>
      <c r="I492">
        <v>0</v>
      </c>
      <c r="J492" t="s">
        <v>36</v>
      </c>
      <c r="K492" t="s">
        <v>19</v>
      </c>
      <c r="L492" t="s">
        <v>20</v>
      </c>
      <c r="M492" t="s">
        <v>33</v>
      </c>
      <c r="N492">
        <v>130792</v>
      </c>
    </row>
    <row r="493" spans="1:14" x14ac:dyDescent="0.3">
      <c r="A493" t="s">
        <v>533</v>
      </c>
      <c r="B493" s="1">
        <v>45176</v>
      </c>
      <c r="C493" t="s">
        <v>14</v>
      </c>
      <c r="D493" t="s">
        <v>43</v>
      </c>
      <c r="E493" t="s">
        <v>16</v>
      </c>
      <c r="F493" t="s">
        <v>28</v>
      </c>
      <c r="G493">
        <v>2</v>
      </c>
      <c r="H493">
        <v>48839</v>
      </c>
      <c r="I493">
        <v>0</v>
      </c>
      <c r="J493" t="s">
        <v>18</v>
      </c>
      <c r="K493" t="s">
        <v>30</v>
      </c>
      <c r="L493" t="s">
        <v>37</v>
      </c>
      <c r="M493" t="s">
        <v>24</v>
      </c>
      <c r="N493">
        <v>97678</v>
      </c>
    </row>
    <row r="494" spans="1:14" x14ac:dyDescent="0.3">
      <c r="A494" t="s">
        <v>534</v>
      </c>
      <c r="B494" s="1">
        <v>45073</v>
      </c>
      <c r="C494" t="s">
        <v>39</v>
      </c>
      <c r="D494" t="s">
        <v>43</v>
      </c>
      <c r="E494" t="s">
        <v>44</v>
      </c>
      <c r="F494" t="s">
        <v>17</v>
      </c>
      <c r="G494">
        <v>6</v>
      </c>
      <c r="H494">
        <v>46241</v>
      </c>
      <c r="I494">
        <v>27744.600000000002</v>
      </c>
      <c r="J494" t="s">
        <v>50</v>
      </c>
      <c r="K494" t="s">
        <v>41</v>
      </c>
      <c r="L494" t="s">
        <v>23</v>
      </c>
      <c r="M494" t="s">
        <v>33</v>
      </c>
      <c r="N494">
        <v>249701.4</v>
      </c>
    </row>
    <row r="495" spans="1:14" x14ac:dyDescent="0.3">
      <c r="A495" t="s">
        <v>535</v>
      </c>
      <c r="B495" s="1">
        <v>45022</v>
      </c>
      <c r="C495" t="s">
        <v>32</v>
      </c>
      <c r="D495" t="s">
        <v>15</v>
      </c>
      <c r="E495" t="s">
        <v>27</v>
      </c>
      <c r="F495" t="s">
        <v>35</v>
      </c>
      <c r="G495">
        <v>8</v>
      </c>
      <c r="H495">
        <v>1192</v>
      </c>
      <c r="I495">
        <v>476.8</v>
      </c>
      <c r="J495" t="s">
        <v>18</v>
      </c>
      <c r="K495" t="s">
        <v>30</v>
      </c>
      <c r="L495" t="s">
        <v>37</v>
      </c>
      <c r="M495" t="s">
        <v>21</v>
      </c>
      <c r="N495">
        <v>9059.1999999999898</v>
      </c>
    </row>
    <row r="496" spans="1:14" x14ac:dyDescent="0.3">
      <c r="A496" t="s">
        <v>536</v>
      </c>
      <c r="B496" s="1">
        <v>45183</v>
      </c>
      <c r="C496" t="s">
        <v>14</v>
      </c>
      <c r="D496" t="s">
        <v>15</v>
      </c>
      <c r="E496" t="s">
        <v>44</v>
      </c>
      <c r="F496" t="s">
        <v>17</v>
      </c>
      <c r="G496">
        <v>6</v>
      </c>
      <c r="H496">
        <v>7058</v>
      </c>
      <c r="I496">
        <v>8469.6</v>
      </c>
      <c r="J496" t="s">
        <v>18</v>
      </c>
      <c r="K496" t="s">
        <v>30</v>
      </c>
      <c r="L496" t="s">
        <v>37</v>
      </c>
      <c r="M496" t="s">
        <v>24</v>
      </c>
      <c r="N496">
        <v>33878.400000000001</v>
      </c>
    </row>
    <row r="497" spans="1:14" x14ac:dyDescent="0.3">
      <c r="A497" t="s">
        <v>537</v>
      </c>
      <c r="B497" s="1">
        <v>45251</v>
      </c>
      <c r="C497" t="s">
        <v>32</v>
      </c>
      <c r="D497" t="s">
        <v>15</v>
      </c>
      <c r="E497" t="s">
        <v>27</v>
      </c>
      <c r="F497" t="s">
        <v>35</v>
      </c>
      <c r="G497">
        <v>4</v>
      </c>
      <c r="H497">
        <v>2321</v>
      </c>
      <c r="I497">
        <v>464.20000000000005</v>
      </c>
      <c r="J497" t="s">
        <v>29</v>
      </c>
      <c r="K497" t="s">
        <v>19</v>
      </c>
      <c r="L497" t="s">
        <v>23</v>
      </c>
      <c r="M497" t="s">
        <v>24</v>
      </c>
      <c r="N497">
        <v>8819.7999999999993</v>
      </c>
    </row>
    <row r="498" spans="1:14" x14ac:dyDescent="0.3">
      <c r="A498" t="s">
        <v>538</v>
      </c>
      <c r="B498" s="1">
        <v>44930</v>
      </c>
      <c r="C498" t="s">
        <v>26</v>
      </c>
      <c r="D498" t="s">
        <v>43</v>
      </c>
      <c r="E498" t="s">
        <v>27</v>
      </c>
      <c r="F498" t="s">
        <v>35</v>
      </c>
      <c r="G498">
        <v>4</v>
      </c>
      <c r="H498">
        <v>27360</v>
      </c>
      <c r="I498">
        <v>21888</v>
      </c>
      <c r="J498" t="s">
        <v>29</v>
      </c>
      <c r="K498" t="s">
        <v>41</v>
      </c>
      <c r="L498" t="s">
        <v>23</v>
      </c>
      <c r="M498" t="s">
        <v>21</v>
      </c>
      <c r="N498">
        <v>87552</v>
      </c>
    </row>
    <row r="499" spans="1:14" x14ac:dyDescent="0.3">
      <c r="A499" t="s">
        <v>539</v>
      </c>
      <c r="B499" s="1">
        <v>44942</v>
      </c>
      <c r="C499" t="s">
        <v>32</v>
      </c>
      <c r="D499" t="s">
        <v>40</v>
      </c>
      <c r="E499" t="s">
        <v>27</v>
      </c>
      <c r="F499" t="s">
        <v>49</v>
      </c>
      <c r="G499">
        <v>6</v>
      </c>
      <c r="H499">
        <v>45356</v>
      </c>
      <c r="I499">
        <v>54427.200000000004</v>
      </c>
      <c r="J499" t="s">
        <v>50</v>
      </c>
      <c r="K499" t="s">
        <v>30</v>
      </c>
      <c r="L499" t="s">
        <v>20</v>
      </c>
      <c r="M499" t="s">
        <v>21</v>
      </c>
      <c r="N499">
        <v>217708.79999999999</v>
      </c>
    </row>
    <row r="500" spans="1:14" x14ac:dyDescent="0.3">
      <c r="A500" t="s">
        <v>540</v>
      </c>
      <c r="B500" s="1">
        <v>45206</v>
      </c>
      <c r="C500" t="s">
        <v>26</v>
      </c>
      <c r="D500" t="s">
        <v>43</v>
      </c>
      <c r="E500" t="s">
        <v>27</v>
      </c>
      <c r="F500" t="s">
        <v>17</v>
      </c>
      <c r="G500">
        <v>4</v>
      </c>
      <c r="H500">
        <v>21106</v>
      </c>
      <c r="I500">
        <v>16884.8</v>
      </c>
      <c r="J500" t="s">
        <v>18</v>
      </c>
      <c r="K500" t="s">
        <v>41</v>
      </c>
      <c r="L500" t="s">
        <v>37</v>
      </c>
      <c r="M500" t="s">
        <v>24</v>
      </c>
      <c r="N500">
        <v>67539.199999999997</v>
      </c>
    </row>
    <row r="501" spans="1:14" x14ac:dyDescent="0.3">
      <c r="A501" t="s">
        <v>541</v>
      </c>
      <c r="B501" s="1">
        <v>45262</v>
      </c>
      <c r="C501" t="s">
        <v>26</v>
      </c>
      <c r="D501" t="s">
        <v>40</v>
      </c>
      <c r="E501" t="s">
        <v>27</v>
      </c>
      <c r="F501" t="s">
        <v>49</v>
      </c>
      <c r="G501">
        <v>8</v>
      </c>
      <c r="H501">
        <v>19772</v>
      </c>
      <c r="I501">
        <v>7908.8</v>
      </c>
      <c r="J501" t="s">
        <v>50</v>
      </c>
      <c r="K501" t="s">
        <v>41</v>
      </c>
      <c r="L501" t="s">
        <v>23</v>
      </c>
      <c r="M501" t="s">
        <v>24</v>
      </c>
      <c r="N501">
        <v>150267.19999999899</v>
      </c>
    </row>
    <row r="502" spans="1:14" x14ac:dyDescent="0.3">
      <c r="A502" t="s">
        <v>542</v>
      </c>
      <c r="B502" s="1">
        <v>45173</v>
      </c>
      <c r="C502" t="s">
        <v>32</v>
      </c>
      <c r="D502" t="s">
        <v>43</v>
      </c>
      <c r="E502" t="s">
        <v>16</v>
      </c>
      <c r="F502" t="s">
        <v>35</v>
      </c>
      <c r="G502">
        <v>9</v>
      </c>
      <c r="H502">
        <v>4336</v>
      </c>
      <c r="I502">
        <v>5853.5999999999995</v>
      </c>
      <c r="J502" t="s">
        <v>50</v>
      </c>
      <c r="K502" t="s">
        <v>19</v>
      </c>
      <c r="L502" t="s">
        <v>23</v>
      </c>
      <c r="M502" t="s">
        <v>21</v>
      </c>
      <c r="N502">
        <v>33170.400000000001</v>
      </c>
    </row>
    <row r="503" spans="1:14" x14ac:dyDescent="0.3">
      <c r="A503" t="s">
        <v>543</v>
      </c>
      <c r="B503" s="1">
        <v>45184</v>
      </c>
      <c r="C503" t="s">
        <v>14</v>
      </c>
      <c r="D503" t="s">
        <v>43</v>
      </c>
      <c r="E503" t="s">
        <v>27</v>
      </c>
      <c r="F503" t="s">
        <v>28</v>
      </c>
      <c r="G503">
        <v>1</v>
      </c>
      <c r="H503">
        <v>16927</v>
      </c>
      <c r="I503">
        <v>846.35</v>
      </c>
      <c r="J503" t="s">
        <v>18</v>
      </c>
      <c r="K503" t="s">
        <v>30</v>
      </c>
      <c r="L503" t="s">
        <v>37</v>
      </c>
      <c r="M503" t="s">
        <v>33</v>
      </c>
      <c r="N503">
        <v>16080.65</v>
      </c>
    </row>
    <row r="504" spans="1:14" x14ac:dyDescent="0.3">
      <c r="A504" t="s">
        <v>544</v>
      </c>
      <c r="B504" s="1">
        <v>45086</v>
      </c>
      <c r="C504" t="s">
        <v>39</v>
      </c>
      <c r="D504" t="s">
        <v>15</v>
      </c>
      <c r="E504" t="s">
        <v>27</v>
      </c>
      <c r="F504" t="s">
        <v>35</v>
      </c>
      <c r="G504">
        <v>4</v>
      </c>
      <c r="H504">
        <v>32367</v>
      </c>
      <c r="I504">
        <v>25893.600000000002</v>
      </c>
      <c r="J504" t="s">
        <v>50</v>
      </c>
      <c r="K504" t="s">
        <v>19</v>
      </c>
      <c r="L504" t="s">
        <v>23</v>
      </c>
      <c r="M504" t="s">
        <v>24</v>
      </c>
      <c r="N504">
        <v>103574.39999999999</v>
      </c>
    </row>
    <row r="505" spans="1:14" x14ac:dyDescent="0.3">
      <c r="A505" t="s">
        <v>545</v>
      </c>
      <c r="B505" s="1">
        <v>45266</v>
      </c>
      <c r="C505" t="s">
        <v>39</v>
      </c>
      <c r="D505" t="s">
        <v>40</v>
      </c>
      <c r="E505" t="s">
        <v>16</v>
      </c>
      <c r="F505" t="s">
        <v>49</v>
      </c>
      <c r="G505">
        <v>4</v>
      </c>
      <c r="H505">
        <v>45621</v>
      </c>
      <c r="I505">
        <v>18248.400000000001</v>
      </c>
      <c r="J505" t="s">
        <v>18</v>
      </c>
      <c r="K505" t="s">
        <v>30</v>
      </c>
      <c r="L505" t="s">
        <v>20</v>
      </c>
      <c r="M505" t="s">
        <v>21</v>
      </c>
      <c r="N505">
        <v>164235.6</v>
      </c>
    </row>
    <row r="506" spans="1:14" x14ac:dyDescent="0.3">
      <c r="A506" t="s">
        <v>546</v>
      </c>
      <c r="B506" s="1">
        <v>45078</v>
      </c>
      <c r="C506" t="s">
        <v>26</v>
      </c>
      <c r="D506" t="s">
        <v>43</v>
      </c>
      <c r="E506" t="s">
        <v>16</v>
      </c>
      <c r="F506" t="s">
        <v>17</v>
      </c>
      <c r="G506">
        <v>2</v>
      </c>
      <c r="H506">
        <v>15679</v>
      </c>
      <c r="I506">
        <v>0</v>
      </c>
      <c r="J506" t="s">
        <v>18</v>
      </c>
      <c r="K506" t="s">
        <v>41</v>
      </c>
      <c r="L506" t="s">
        <v>20</v>
      </c>
      <c r="M506" t="s">
        <v>33</v>
      </c>
      <c r="N506">
        <v>31358</v>
      </c>
    </row>
    <row r="507" spans="1:14" x14ac:dyDescent="0.3">
      <c r="A507" t="s">
        <v>547</v>
      </c>
      <c r="B507" s="1">
        <v>45104</v>
      </c>
      <c r="C507" t="s">
        <v>26</v>
      </c>
      <c r="D507" t="s">
        <v>43</v>
      </c>
      <c r="E507" t="s">
        <v>16</v>
      </c>
      <c r="F507" t="s">
        <v>17</v>
      </c>
      <c r="G507">
        <v>6</v>
      </c>
      <c r="H507">
        <v>31576</v>
      </c>
      <c r="I507">
        <v>37891.200000000004</v>
      </c>
      <c r="J507" t="s">
        <v>18</v>
      </c>
      <c r="K507" t="s">
        <v>30</v>
      </c>
      <c r="L507" t="s">
        <v>37</v>
      </c>
      <c r="M507" t="s">
        <v>24</v>
      </c>
      <c r="N507">
        <v>151564.79999999999</v>
      </c>
    </row>
    <row r="508" spans="1:14" x14ac:dyDescent="0.3">
      <c r="A508" t="s">
        <v>548</v>
      </c>
      <c r="B508" s="1">
        <v>45089</v>
      </c>
      <c r="C508" t="s">
        <v>14</v>
      </c>
      <c r="D508" t="s">
        <v>15</v>
      </c>
      <c r="E508" t="s">
        <v>16</v>
      </c>
      <c r="F508" t="s">
        <v>49</v>
      </c>
      <c r="G508">
        <v>3</v>
      </c>
      <c r="H508">
        <v>5023</v>
      </c>
      <c r="I508">
        <v>1506.9</v>
      </c>
      <c r="J508" t="s">
        <v>18</v>
      </c>
      <c r="K508" t="s">
        <v>30</v>
      </c>
      <c r="L508" t="s">
        <v>20</v>
      </c>
      <c r="M508" t="s">
        <v>24</v>
      </c>
      <c r="N508">
        <v>13562.1</v>
      </c>
    </row>
    <row r="509" spans="1:14" x14ac:dyDescent="0.3">
      <c r="A509" t="s">
        <v>549</v>
      </c>
      <c r="B509" s="1">
        <v>44959</v>
      </c>
      <c r="C509" t="s">
        <v>46</v>
      </c>
      <c r="D509" t="s">
        <v>15</v>
      </c>
      <c r="E509" t="s">
        <v>16</v>
      </c>
      <c r="F509" t="s">
        <v>17</v>
      </c>
      <c r="G509">
        <v>7</v>
      </c>
      <c r="H509">
        <v>5120</v>
      </c>
      <c r="I509">
        <v>5376</v>
      </c>
      <c r="J509" t="s">
        <v>36</v>
      </c>
      <c r="K509" t="s">
        <v>41</v>
      </c>
      <c r="L509" t="s">
        <v>23</v>
      </c>
      <c r="M509" t="s">
        <v>21</v>
      </c>
      <c r="N509">
        <v>30464</v>
      </c>
    </row>
    <row r="510" spans="1:14" x14ac:dyDescent="0.3">
      <c r="A510" t="s">
        <v>550</v>
      </c>
      <c r="B510" s="1">
        <v>45105</v>
      </c>
      <c r="C510" t="s">
        <v>32</v>
      </c>
      <c r="D510" t="s">
        <v>40</v>
      </c>
      <c r="E510" t="s">
        <v>16</v>
      </c>
      <c r="F510" t="s">
        <v>47</v>
      </c>
      <c r="G510">
        <v>5</v>
      </c>
      <c r="H510">
        <v>19785</v>
      </c>
      <c r="I510">
        <v>19785</v>
      </c>
      <c r="J510" t="s">
        <v>18</v>
      </c>
      <c r="K510" t="s">
        <v>41</v>
      </c>
      <c r="L510" t="s">
        <v>23</v>
      </c>
      <c r="M510" t="s">
        <v>33</v>
      </c>
      <c r="N510">
        <v>79140</v>
      </c>
    </row>
    <row r="511" spans="1:14" x14ac:dyDescent="0.3">
      <c r="A511" t="s">
        <v>551</v>
      </c>
      <c r="B511" s="1">
        <v>45027</v>
      </c>
      <c r="C511" t="s">
        <v>26</v>
      </c>
      <c r="D511" t="s">
        <v>43</v>
      </c>
      <c r="E511" t="s">
        <v>27</v>
      </c>
      <c r="F511" t="s">
        <v>28</v>
      </c>
      <c r="G511">
        <v>4</v>
      </c>
      <c r="H511">
        <v>38439</v>
      </c>
      <c r="I511">
        <v>15375.6</v>
      </c>
      <c r="J511" t="s">
        <v>29</v>
      </c>
      <c r="K511" t="s">
        <v>30</v>
      </c>
      <c r="L511" t="s">
        <v>23</v>
      </c>
      <c r="M511" t="s">
        <v>24</v>
      </c>
      <c r="N511">
        <v>138380.4</v>
      </c>
    </row>
    <row r="512" spans="1:14" x14ac:dyDescent="0.3">
      <c r="A512" t="s">
        <v>552</v>
      </c>
      <c r="B512" s="1">
        <v>45194</v>
      </c>
      <c r="C512" t="s">
        <v>39</v>
      </c>
      <c r="D512" t="s">
        <v>40</v>
      </c>
      <c r="E512" t="s">
        <v>27</v>
      </c>
      <c r="F512" t="s">
        <v>28</v>
      </c>
      <c r="G512">
        <v>5</v>
      </c>
      <c r="H512">
        <v>17472</v>
      </c>
      <c r="I512">
        <v>17472</v>
      </c>
      <c r="J512" t="s">
        <v>29</v>
      </c>
      <c r="K512" t="s">
        <v>19</v>
      </c>
      <c r="L512" t="s">
        <v>23</v>
      </c>
      <c r="M512" t="s">
        <v>33</v>
      </c>
      <c r="N512">
        <v>69888</v>
      </c>
    </row>
    <row r="513" spans="1:14" x14ac:dyDescent="0.3">
      <c r="A513" t="s">
        <v>553</v>
      </c>
      <c r="B513" s="1">
        <v>45249</v>
      </c>
      <c r="C513" t="s">
        <v>14</v>
      </c>
      <c r="D513" t="s">
        <v>43</v>
      </c>
      <c r="E513" t="s">
        <v>44</v>
      </c>
      <c r="F513" t="s">
        <v>28</v>
      </c>
      <c r="G513">
        <v>8</v>
      </c>
      <c r="H513">
        <v>26819</v>
      </c>
      <c r="I513">
        <v>10727.6</v>
      </c>
      <c r="J513" t="s">
        <v>29</v>
      </c>
      <c r="K513" t="s">
        <v>30</v>
      </c>
      <c r="L513" t="s">
        <v>37</v>
      </c>
      <c r="M513" t="s">
        <v>33</v>
      </c>
      <c r="N513">
        <v>203824.4</v>
      </c>
    </row>
    <row r="514" spans="1:14" x14ac:dyDescent="0.3">
      <c r="A514" t="s">
        <v>554</v>
      </c>
      <c r="B514" s="1">
        <v>44991</v>
      </c>
      <c r="C514" t="s">
        <v>32</v>
      </c>
      <c r="D514" t="s">
        <v>40</v>
      </c>
      <c r="E514" t="s">
        <v>27</v>
      </c>
      <c r="F514" t="s">
        <v>17</v>
      </c>
      <c r="G514">
        <v>3</v>
      </c>
      <c r="H514">
        <v>9733</v>
      </c>
      <c r="I514">
        <v>2919.9</v>
      </c>
      <c r="J514" t="s">
        <v>18</v>
      </c>
      <c r="K514" t="s">
        <v>41</v>
      </c>
      <c r="L514" t="s">
        <v>20</v>
      </c>
      <c r="M514" t="s">
        <v>24</v>
      </c>
      <c r="N514">
        <v>26279.1</v>
      </c>
    </row>
    <row r="515" spans="1:14" x14ac:dyDescent="0.3">
      <c r="A515" t="s">
        <v>555</v>
      </c>
      <c r="B515" s="1">
        <v>45094</v>
      </c>
      <c r="C515" t="s">
        <v>14</v>
      </c>
      <c r="D515" t="s">
        <v>15</v>
      </c>
      <c r="E515" t="s">
        <v>27</v>
      </c>
      <c r="F515" t="s">
        <v>17</v>
      </c>
      <c r="G515">
        <v>7</v>
      </c>
      <c r="H515">
        <v>40095</v>
      </c>
      <c r="I515">
        <v>14033.25</v>
      </c>
      <c r="J515" t="s">
        <v>29</v>
      </c>
      <c r="K515" t="s">
        <v>19</v>
      </c>
      <c r="L515" t="s">
        <v>20</v>
      </c>
      <c r="M515" t="s">
        <v>33</v>
      </c>
      <c r="N515">
        <v>266631.75</v>
      </c>
    </row>
    <row r="516" spans="1:14" x14ac:dyDescent="0.3">
      <c r="A516" t="s">
        <v>556</v>
      </c>
      <c r="B516" s="1">
        <v>45256</v>
      </c>
      <c r="C516" t="s">
        <v>32</v>
      </c>
      <c r="D516" t="s">
        <v>43</v>
      </c>
      <c r="E516" t="s">
        <v>16</v>
      </c>
      <c r="F516" t="s">
        <v>35</v>
      </c>
      <c r="G516">
        <v>6</v>
      </c>
      <c r="H516">
        <v>3920</v>
      </c>
      <c r="I516">
        <v>1176</v>
      </c>
      <c r="J516" t="s">
        <v>36</v>
      </c>
      <c r="K516" t="s">
        <v>41</v>
      </c>
      <c r="L516" t="s">
        <v>23</v>
      </c>
      <c r="M516" t="s">
        <v>24</v>
      </c>
      <c r="N516">
        <v>22344</v>
      </c>
    </row>
    <row r="517" spans="1:14" x14ac:dyDescent="0.3">
      <c r="A517" t="s">
        <v>557</v>
      </c>
      <c r="B517" s="1">
        <v>44969</v>
      </c>
      <c r="C517" t="s">
        <v>32</v>
      </c>
      <c r="D517" t="s">
        <v>40</v>
      </c>
      <c r="E517" t="s">
        <v>16</v>
      </c>
      <c r="F517" t="s">
        <v>35</v>
      </c>
      <c r="G517">
        <v>1</v>
      </c>
      <c r="H517">
        <v>19467</v>
      </c>
      <c r="I517">
        <v>1946.7</v>
      </c>
      <c r="J517" t="s">
        <v>50</v>
      </c>
      <c r="K517" t="s">
        <v>41</v>
      </c>
      <c r="L517" t="s">
        <v>37</v>
      </c>
      <c r="M517" t="s">
        <v>33</v>
      </c>
      <c r="N517">
        <v>17520.3</v>
      </c>
    </row>
    <row r="518" spans="1:14" x14ac:dyDescent="0.3">
      <c r="A518" t="s">
        <v>558</v>
      </c>
      <c r="B518" s="1">
        <v>44970</v>
      </c>
      <c r="C518" t="s">
        <v>26</v>
      </c>
      <c r="D518" t="s">
        <v>15</v>
      </c>
      <c r="E518" t="s">
        <v>27</v>
      </c>
      <c r="F518" t="s">
        <v>28</v>
      </c>
      <c r="G518">
        <v>7</v>
      </c>
      <c r="H518">
        <v>15896</v>
      </c>
      <c r="I518">
        <v>0</v>
      </c>
      <c r="J518" t="s">
        <v>18</v>
      </c>
      <c r="K518" t="s">
        <v>19</v>
      </c>
      <c r="L518" t="s">
        <v>23</v>
      </c>
      <c r="M518" t="s">
        <v>24</v>
      </c>
      <c r="N518">
        <v>111272</v>
      </c>
    </row>
    <row r="519" spans="1:14" x14ac:dyDescent="0.3">
      <c r="A519" t="s">
        <v>559</v>
      </c>
      <c r="B519" s="1">
        <v>45211</v>
      </c>
      <c r="C519" t="s">
        <v>14</v>
      </c>
      <c r="D519" t="s">
        <v>15</v>
      </c>
      <c r="E519" t="s">
        <v>44</v>
      </c>
      <c r="F519" t="s">
        <v>47</v>
      </c>
      <c r="G519">
        <v>7</v>
      </c>
      <c r="H519">
        <v>30168</v>
      </c>
      <c r="I519">
        <v>21117.600000000002</v>
      </c>
      <c r="J519" t="s">
        <v>29</v>
      </c>
      <c r="K519" t="s">
        <v>41</v>
      </c>
      <c r="L519" t="s">
        <v>23</v>
      </c>
      <c r="M519" t="s">
        <v>21</v>
      </c>
      <c r="N519">
        <v>190058.4</v>
      </c>
    </row>
    <row r="520" spans="1:14" x14ac:dyDescent="0.3">
      <c r="A520" t="s">
        <v>560</v>
      </c>
      <c r="B520" s="1">
        <v>44938</v>
      </c>
      <c r="C520" t="s">
        <v>14</v>
      </c>
      <c r="D520" t="s">
        <v>40</v>
      </c>
      <c r="E520" t="s">
        <v>16</v>
      </c>
      <c r="F520" t="s">
        <v>35</v>
      </c>
      <c r="G520">
        <v>1</v>
      </c>
      <c r="H520">
        <v>23545</v>
      </c>
      <c r="I520">
        <v>0</v>
      </c>
      <c r="J520" t="s">
        <v>36</v>
      </c>
      <c r="K520" t="s">
        <v>41</v>
      </c>
      <c r="L520" t="s">
        <v>37</v>
      </c>
      <c r="M520" t="s">
        <v>24</v>
      </c>
      <c r="N520">
        <v>23545</v>
      </c>
    </row>
    <row r="521" spans="1:14" x14ac:dyDescent="0.3">
      <c r="A521" t="s">
        <v>561</v>
      </c>
      <c r="B521" s="1">
        <v>45021</v>
      </c>
      <c r="C521" t="s">
        <v>39</v>
      </c>
      <c r="D521" t="s">
        <v>43</v>
      </c>
      <c r="E521" t="s">
        <v>27</v>
      </c>
      <c r="F521" t="s">
        <v>35</v>
      </c>
      <c r="G521">
        <v>9</v>
      </c>
      <c r="H521">
        <v>25893</v>
      </c>
      <c r="I521">
        <v>46607.4</v>
      </c>
      <c r="J521" t="s">
        <v>50</v>
      </c>
      <c r="K521" t="s">
        <v>41</v>
      </c>
      <c r="L521" t="s">
        <v>37</v>
      </c>
      <c r="M521" t="s">
        <v>24</v>
      </c>
      <c r="N521">
        <v>186429.6</v>
      </c>
    </row>
    <row r="522" spans="1:14" x14ac:dyDescent="0.3">
      <c r="A522" t="s">
        <v>562</v>
      </c>
      <c r="B522" s="1">
        <v>45228</v>
      </c>
      <c r="C522" t="s">
        <v>39</v>
      </c>
      <c r="D522" t="s">
        <v>43</v>
      </c>
      <c r="E522" t="s">
        <v>27</v>
      </c>
      <c r="F522" t="s">
        <v>17</v>
      </c>
      <c r="G522">
        <v>6</v>
      </c>
      <c r="H522">
        <v>19585</v>
      </c>
      <c r="I522">
        <v>23502</v>
      </c>
      <c r="J522" t="s">
        <v>36</v>
      </c>
      <c r="K522" t="s">
        <v>41</v>
      </c>
      <c r="L522" t="s">
        <v>23</v>
      </c>
      <c r="M522" t="s">
        <v>24</v>
      </c>
      <c r="N522">
        <v>94008</v>
      </c>
    </row>
    <row r="523" spans="1:14" x14ac:dyDescent="0.3">
      <c r="A523" t="s">
        <v>563</v>
      </c>
      <c r="B523" s="1">
        <v>45179</v>
      </c>
      <c r="C523" t="s">
        <v>26</v>
      </c>
      <c r="D523" t="s">
        <v>15</v>
      </c>
      <c r="E523" t="s">
        <v>44</v>
      </c>
      <c r="F523" t="s">
        <v>47</v>
      </c>
      <c r="G523">
        <v>2</v>
      </c>
      <c r="H523">
        <v>18322</v>
      </c>
      <c r="I523">
        <v>3664.4</v>
      </c>
      <c r="J523" t="s">
        <v>29</v>
      </c>
      <c r="K523" t="s">
        <v>41</v>
      </c>
      <c r="L523" t="s">
        <v>20</v>
      </c>
      <c r="M523" t="s">
        <v>33</v>
      </c>
      <c r="N523">
        <v>32979.599999999999</v>
      </c>
    </row>
    <row r="524" spans="1:14" x14ac:dyDescent="0.3">
      <c r="A524" t="s">
        <v>564</v>
      </c>
      <c r="B524" s="1">
        <v>45168</v>
      </c>
      <c r="C524" t="s">
        <v>26</v>
      </c>
      <c r="D524" t="s">
        <v>43</v>
      </c>
      <c r="E524" t="s">
        <v>44</v>
      </c>
      <c r="F524" t="s">
        <v>28</v>
      </c>
      <c r="G524">
        <v>5</v>
      </c>
      <c r="H524">
        <v>1564</v>
      </c>
      <c r="I524">
        <v>1564</v>
      </c>
      <c r="J524" t="s">
        <v>36</v>
      </c>
      <c r="K524" t="s">
        <v>41</v>
      </c>
      <c r="L524" t="s">
        <v>23</v>
      </c>
      <c r="M524" t="s">
        <v>21</v>
      </c>
      <c r="N524">
        <v>6256</v>
      </c>
    </row>
    <row r="525" spans="1:14" x14ac:dyDescent="0.3">
      <c r="A525" t="s">
        <v>565</v>
      </c>
      <c r="B525" s="1">
        <v>44961</v>
      </c>
      <c r="C525" t="s">
        <v>46</v>
      </c>
      <c r="D525" t="s">
        <v>43</v>
      </c>
      <c r="E525" t="s">
        <v>16</v>
      </c>
      <c r="F525" t="s">
        <v>35</v>
      </c>
      <c r="G525">
        <v>4</v>
      </c>
      <c r="H525">
        <v>2908</v>
      </c>
      <c r="I525">
        <v>1744.8</v>
      </c>
      <c r="J525" t="s">
        <v>50</v>
      </c>
      <c r="K525" t="s">
        <v>41</v>
      </c>
      <c r="L525" t="s">
        <v>20</v>
      </c>
      <c r="M525" t="s">
        <v>33</v>
      </c>
      <c r="N525">
        <v>9887.1999999999898</v>
      </c>
    </row>
    <row r="526" spans="1:14" x14ac:dyDescent="0.3">
      <c r="A526" t="s">
        <v>566</v>
      </c>
      <c r="B526" s="1">
        <v>45141</v>
      </c>
      <c r="C526" t="s">
        <v>39</v>
      </c>
      <c r="D526" t="s">
        <v>43</v>
      </c>
      <c r="E526" t="s">
        <v>44</v>
      </c>
      <c r="F526" t="s">
        <v>47</v>
      </c>
      <c r="G526">
        <v>7</v>
      </c>
      <c r="H526">
        <v>13182</v>
      </c>
      <c r="I526">
        <v>4613.7</v>
      </c>
      <c r="J526" t="s">
        <v>29</v>
      </c>
      <c r="K526" t="s">
        <v>41</v>
      </c>
      <c r="L526" t="s">
        <v>20</v>
      </c>
      <c r="M526" t="s">
        <v>33</v>
      </c>
      <c r="N526">
        <v>87660.3</v>
      </c>
    </row>
    <row r="527" spans="1:14" x14ac:dyDescent="0.3">
      <c r="A527" t="s">
        <v>567</v>
      </c>
      <c r="B527" s="1">
        <v>45263</v>
      </c>
      <c r="C527" t="s">
        <v>32</v>
      </c>
      <c r="D527" t="s">
        <v>15</v>
      </c>
      <c r="E527" t="s">
        <v>27</v>
      </c>
      <c r="F527" t="s">
        <v>47</v>
      </c>
      <c r="G527">
        <v>8</v>
      </c>
      <c r="H527">
        <v>17508</v>
      </c>
      <c r="I527">
        <v>7003.2000000000007</v>
      </c>
      <c r="J527" t="s">
        <v>50</v>
      </c>
      <c r="K527" t="s">
        <v>41</v>
      </c>
      <c r="L527" t="s">
        <v>37</v>
      </c>
      <c r="M527" t="s">
        <v>24</v>
      </c>
      <c r="N527">
        <v>133060.79999999999</v>
      </c>
    </row>
    <row r="528" spans="1:14" x14ac:dyDescent="0.3">
      <c r="A528" t="s">
        <v>568</v>
      </c>
      <c r="B528" s="1">
        <v>45016</v>
      </c>
      <c r="C528" t="s">
        <v>14</v>
      </c>
      <c r="D528" t="s">
        <v>40</v>
      </c>
      <c r="E528" t="s">
        <v>27</v>
      </c>
      <c r="F528" t="s">
        <v>28</v>
      </c>
      <c r="G528">
        <v>1</v>
      </c>
      <c r="H528">
        <v>33119</v>
      </c>
      <c r="I528">
        <v>0</v>
      </c>
      <c r="J528" t="s">
        <v>36</v>
      </c>
      <c r="K528" t="s">
        <v>30</v>
      </c>
      <c r="L528" t="s">
        <v>37</v>
      </c>
      <c r="M528" t="s">
        <v>33</v>
      </c>
      <c r="N528">
        <v>33119</v>
      </c>
    </row>
    <row r="529" spans="1:14" x14ac:dyDescent="0.3">
      <c r="A529" t="s">
        <v>569</v>
      </c>
      <c r="B529" s="1">
        <v>45190</v>
      </c>
      <c r="C529" t="s">
        <v>26</v>
      </c>
      <c r="D529" t="s">
        <v>43</v>
      </c>
      <c r="E529" t="s">
        <v>44</v>
      </c>
      <c r="F529" t="s">
        <v>47</v>
      </c>
      <c r="G529">
        <v>5</v>
      </c>
      <c r="H529">
        <v>25361</v>
      </c>
      <c r="I529">
        <v>25361</v>
      </c>
      <c r="J529" t="s">
        <v>18</v>
      </c>
      <c r="K529" t="s">
        <v>30</v>
      </c>
      <c r="L529" t="s">
        <v>23</v>
      </c>
      <c r="M529" t="s">
        <v>24</v>
      </c>
      <c r="N529">
        <v>101444</v>
      </c>
    </row>
    <row r="530" spans="1:14" x14ac:dyDescent="0.3">
      <c r="A530" t="s">
        <v>570</v>
      </c>
      <c r="B530" s="1">
        <v>45019</v>
      </c>
      <c r="C530" t="s">
        <v>14</v>
      </c>
      <c r="D530" t="s">
        <v>15</v>
      </c>
      <c r="E530" t="s">
        <v>44</v>
      </c>
      <c r="F530" t="s">
        <v>47</v>
      </c>
      <c r="G530">
        <v>3</v>
      </c>
      <c r="H530">
        <v>35289</v>
      </c>
      <c r="I530">
        <v>0</v>
      </c>
      <c r="J530" t="s">
        <v>18</v>
      </c>
      <c r="K530" t="s">
        <v>41</v>
      </c>
      <c r="L530" t="s">
        <v>20</v>
      </c>
      <c r="M530" t="s">
        <v>21</v>
      </c>
      <c r="N530">
        <v>105867</v>
      </c>
    </row>
    <row r="531" spans="1:14" x14ac:dyDescent="0.3">
      <c r="A531" t="s">
        <v>571</v>
      </c>
      <c r="B531" s="1">
        <v>45016</v>
      </c>
      <c r="C531" t="s">
        <v>14</v>
      </c>
      <c r="D531" t="s">
        <v>15</v>
      </c>
      <c r="E531" t="s">
        <v>44</v>
      </c>
      <c r="F531" t="s">
        <v>47</v>
      </c>
      <c r="G531">
        <v>1</v>
      </c>
      <c r="H531">
        <v>14065</v>
      </c>
      <c r="I531">
        <v>703.25</v>
      </c>
      <c r="J531" t="s">
        <v>18</v>
      </c>
      <c r="K531" t="s">
        <v>30</v>
      </c>
      <c r="L531" t="s">
        <v>20</v>
      </c>
      <c r="M531" t="s">
        <v>33</v>
      </c>
      <c r="N531">
        <v>13361.75</v>
      </c>
    </row>
    <row r="532" spans="1:14" x14ac:dyDescent="0.3">
      <c r="A532" t="s">
        <v>572</v>
      </c>
      <c r="B532" s="1">
        <v>45041</v>
      </c>
      <c r="C532" t="s">
        <v>46</v>
      </c>
      <c r="D532" t="s">
        <v>40</v>
      </c>
      <c r="E532" t="s">
        <v>44</v>
      </c>
      <c r="F532" t="s">
        <v>35</v>
      </c>
      <c r="G532">
        <v>3</v>
      </c>
      <c r="H532">
        <v>695</v>
      </c>
      <c r="I532">
        <v>104.25</v>
      </c>
      <c r="J532" t="s">
        <v>18</v>
      </c>
      <c r="K532" t="s">
        <v>19</v>
      </c>
      <c r="L532" t="s">
        <v>23</v>
      </c>
      <c r="M532" t="s">
        <v>33</v>
      </c>
      <c r="N532">
        <v>1980.75</v>
      </c>
    </row>
    <row r="533" spans="1:14" x14ac:dyDescent="0.3">
      <c r="A533" t="s">
        <v>573</v>
      </c>
      <c r="B533" s="1">
        <v>45031</v>
      </c>
      <c r="C533" t="s">
        <v>39</v>
      </c>
      <c r="D533" t="s">
        <v>43</v>
      </c>
      <c r="E533" t="s">
        <v>16</v>
      </c>
      <c r="F533" t="s">
        <v>28</v>
      </c>
      <c r="G533">
        <v>6</v>
      </c>
      <c r="H533">
        <v>44955</v>
      </c>
      <c r="I533">
        <v>53946</v>
      </c>
      <c r="J533" t="s">
        <v>50</v>
      </c>
      <c r="K533" t="s">
        <v>30</v>
      </c>
      <c r="L533" t="s">
        <v>23</v>
      </c>
      <c r="M533" t="s">
        <v>33</v>
      </c>
      <c r="N533">
        <v>215784</v>
      </c>
    </row>
    <row r="534" spans="1:14" x14ac:dyDescent="0.3">
      <c r="A534" t="s">
        <v>574</v>
      </c>
      <c r="B534" s="1">
        <v>45122</v>
      </c>
      <c r="C534" t="s">
        <v>26</v>
      </c>
      <c r="D534" t="s">
        <v>43</v>
      </c>
      <c r="E534" t="s">
        <v>44</v>
      </c>
      <c r="F534" t="s">
        <v>47</v>
      </c>
      <c r="G534">
        <v>7</v>
      </c>
      <c r="H534">
        <v>2348</v>
      </c>
      <c r="I534">
        <v>2465.4</v>
      </c>
      <c r="J534" t="s">
        <v>18</v>
      </c>
      <c r="K534" t="s">
        <v>41</v>
      </c>
      <c r="L534" t="s">
        <v>23</v>
      </c>
      <c r="M534" t="s">
        <v>24</v>
      </c>
      <c r="N534">
        <v>13970.6</v>
      </c>
    </row>
    <row r="535" spans="1:14" x14ac:dyDescent="0.3">
      <c r="A535" t="s">
        <v>575</v>
      </c>
      <c r="B535" s="1">
        <v>45240</v>
      </c>
      <c r="C535" t="s">
        <v>14</v>
      </c>
      <c r="D535" t="s">
        <v>40</v>
      </c>
      <c r="E535" t="s">
        <v>16</v>
      </c>
      <c r="F535" t="s">
        <v>47</v>
      </c>
      <c r="G535">
        <v>8</v>
      </c>
      <c r="H535">
        <v>33524</v>
      </c>
      <c r="I535">
        <v>40228.799999999996</v>
      </c>
      <c r="J535" t="s">
        <v>50</v>
      </c>
      <c r="K535" t="s">
        <v>41</v>
      </c>
      <c r="L535" t="s">
        <v>37</v>
      </c>
      <c r="M535" t="s">
        <v>24</v>
      </c>
      <c r="N535">
        <v>227963.19999999899</v>
      </c>
    </row>
    <row r="536" spans="1:14" x14ac:dyDescent="0.3">
      <c r="A536" t="s">
        <v>576</v>
      </c>
      <c r="B536" s="1">
        <v>45040</v>
      </c>
      <c r="C536" t="s">
        <v>26</v>
      </c>
      <c r="D536" t="s">
        <v>40</v>
      </c>
      <c r="E536" t="s">
        <v>27</v>
      </c>
      <c r="F536" t="s">
        <v>35</v>
      </c>
      <c r="G536">
        <v>4</v>
      </c>
      <c r="H536">
        <v>13593</v>
      </c>
      <c r="I536">
        <v>10874.400000000001</v>
      </c>
      <c r="J536" t="s">
        <v>29</v>
      </c>
      <c r="K536" t="s">
        <v>30</v>
      </c>
      <c r="L536" t="s">
        <v>23</v>
      </c>
      <c r="M536" t="s">
        <v>33</v>
      </c>
      <c r="N536">
        <v>43497.599999999999</v>
      </c>
    </row>
    <row r="537" spans="1:14" x14ac:dyDescent="0.3">
      <c r="A537" t="s">
        <v>577</v>
      </c>
      <c r="B537" s="1">
        <v>45001</v>
      </c>
      <c r="C537" t="s">
        <v>32</v>
      </c>
      <c r="D537" t="s">
        <v>15</v>
      </c>
      <c r="E537" t="s">
        <v>44</v>
      </c>
      <c r="F537" t="s">
        <v>28</v>
      </c>
      <c r="G537">
        <v>3</v>
      </c>
      <c r="H537">
        <v>1752</v>
      </c>
      <c r="I537">
        <v>1051.2</v>
      </c>
      <c r="J537" t="s">
        <v>18</v>
      </c>
      <c r="K537" t="s">
        <v>41</v>
      </c>
      <c r="L537" t="s">
        <v>23</v>
      </c>
      <c r="M537" t="s">
        <v>33</v>
      </c>
      <c r="N537">
        <v>4204.8</v>
      </c>
    </row>
    <row r="538" spans="1:14" x14ac:dyDescent="0.3">
      <c r="A538" t="s">
        <v>578</v>
      </c>
      <c r="B538" s="1">
        <v>45143</v>
      </c>
      <c r="C538" t="s">
        <v>46</v>
      </c>
      <c r="D538" t="s">
        <v>15</v>
      </c>
      <c r="E538" t="s">
        <v>16</v>
      </c>
      <c r="F538" t="s">
        <v>17</v>
      </c>
      <c r="G538">
        <v>5</v>
      </c>
      <c r="H538">
        <v>36053</v>
      </c>
      <c r="I538">
        <v>0</v>
      </c>
      <c r="J538" t="s">
        <v>50</v>
      </c>
      <c r="K538" t="s">
        <v>19</v>
      </c>
      <c r="L538" t="s">
        <v>20</v>
      </c>
      <c r="M538" t="s">
        <v>21</v>
      </c>
      <c r="N538">
        <v>180265</v>
      </c>
    </row>
    <row r="539" spans="1:14" x14ac:dyDescent="0.3">
      <c r="A539" t="s">
        <v>579</v>
      </c>
      <c r="B539" s="1">
        <v>45203</v>
      </c>
      <c r="C539" t="s">
        <v>32</v>
      </c>
      <c r="D539" t="s">
        <v>40</v>
      </c>
      <c r="E539" t="s">
        <v>44</v>
      </c>
      <c r="F539" t="s">
        <v>35</v>
      </c>
      <c r="G539">
        <v>9</v>
      </c>
      <c r="H539">
        <v>33124</v>
      </c>
      <c r="I539">
        <v>59623.200000000004</v>
      </c>
      <c r="J539" t="s">
        <v>18</v>
      </c>
      <c r="K539" t="s">
        <v>19</v>
      </c>
      <c r="L539" t="s">
        <v>23</v>
      </c>
      <c r="M539" t="s">
        <v>21</v>
      </c>
      <c r="N539">
        <v>238492.79999999999</v>
      </c>
    </row>
    <row r="540" spans="1:14" x14ac:dyDescent="0.3">
      <c r="A540" t="s">
        <v>580</v>
      </c>
      <c r="B540" s="1">
        <v>45175</v>
      </c>
      <c r="C540" t="s">
        <v>26</v>
      </c>
      <c r="D540" t="s">
        <v>43</v>
      </c>
      <c r="E540" t="s">
        <v>27</v>
      </c>
      <c r="F540" t="s">
        <v>28</v>
      </c>
      <c r="G540">
        <v>6</v>
      </c>
      <c r="H540">
        <v>9126</v>
      </c>
      <c r="I540">
        <v>8213.4</v>
      </c>
      <c r="J540" t="s">
        <v>18</v>
      </c>
      <c r="K540" t="s">
        <v>41</v>
      </c>
      <c r="L540" t="s">
        <v>20</v>
      </c>
      <c r="M540" t="s">
        <v>21</v>
      </c>
      <c r="N540">
        <v>46542.6</v>
      </c>
    </row>
    <row r="541" spans="1:14" x14ac:dyDescent="0.3">
      <c r="A541" t="s">
        <v>581</v>
      </c>
      <c r="B541" s="1">
        <v>45090</v>
      </c>
      <c r="C541" t="s">
        <v>26</v>
      </c>
      <c r="D541" t="s">
        <v>15</v>
      </c>
      <c r="E541" t="s">
        <v>27</v>
      </c>
      <c r="F541" t="s">
        <v>47</v>
      </c>
      <c r="G541">
        <v>9</v>
      </c>
      <c r="H541">
        <v>31051</v>
      </c>
      <c r="I541">
        <v>55891.8</v>
      </c>
      <c r="J541" t="s">
        <v>18</v>
      </c>
      <c r="K541" t="s">
        <v>19</v>
      </c>
      <c r="L541" t="s">
        <v>20</v>
      </c>
      <c r="M541" t="s">
        <v>21</v>
      </c>
      <c r="N541">
        <v>223567.2</v>
      </c>
    </row>
    <row r="542" spans="1:14" x14ac:dyDescent="0.3">
      <c r="A542" t="s">
        <v>582</v>
      </c>
      <c r="B542" s="1">
        <v>45283</v>
      </c>
      <c r="C542" t="s">
        <v>39</v>
      </c>
      <c r="D542" t="s">
        <v>15</v>
      </c>
      <c r="E542" t="s">
        <v>27</v>
      </c>
      <c r="F542" t="s">
        <v>28</v>
      </c>
      <c r="G542">
        <v>6</v>
      </c>
      <c r="H542">
        <v>24089</v>
      </c>
      <c r="I542">
        <v>0</v>
      </c>
      <c r="J542" t="s">
        <v>50</v>
      </c>
      <c r="K542" t="s">
        <v>19</v>
      </c>
      <c r="L542" t="s">
        <v>37</v>
      </c>
      <c r="M542" t="s">
        <v>21</v>
      </c>
      <c r="N542">
        <v>144534</v>
      </c>
    </row>
    <row r="543" spans="1:14" x14ac:dyDescent="0.3">
      <c r="A543" t="s">
        <v>583</v>
      </c>
      <c r="B543" s="1">
        <v>45118</v>
      </c>
      <c r="C543" t="s">
        <v>14</v>
      </c>
      <c r="D543" t="s">
        <v>43</v>
      </c>
      <c r="E543" t="s">
        <v>44</v>
      </c>
      <c r="F543" t="s">
        <v>28</v>
      </c>
      <c r="G543">
        <v>2</v>
      </c>
      <c r="H543">
        <v>40130</v>
      </c>
      <c r="I543">
        <v>0</v>
      </c>
      <c r="J543" t="s">
        <v>36</v>
      </c>
      <c r="K543" t="s">
        <v>30</v>
      </c>
      <c r="L543" t="s">
        <v>23</v>
      </c>
      <c r="M543" t="s">
        <v>24</v>
      </c>
      <c r="N543">
        <v>80260</v>
      </c>
    </row>
    <row r="544" spans="1:14" x14ac:dyDescent="0.3">
      <c r="A544" t="s">
        <v>584</v>
      </c>
      <c r="B544" s="1">
        <v>45153</v>
      </c>
      <c r="C544" t="s">
        <v>14</v>
      </c>
      <c r="D544" t="s">
        <v>15</v>
      </c>
      <c r="E544" t="s">
        <v>44</v>
      </c>
      <c r="F544" t="s">
        <v>28</v>
      </c>
      <c r="G544">
        <v>5</v>
      </c>
      <c r="H544">
        <v>8255</v>
      </c>
      <c r="I544">
        <v>0</v>
      </c>
      <c r="J544" t="s">
        <v>18</v>
      </c>
      <c r="K544" t="s">
        <v>19</v>
      </c>
      <c r="L544" t="s">
        <v>23</v>
      </c>
      <c r="M544" t="s">
        <v>21</v>
      </c>
      <c r="N544">
        <v>41275</v>
      </c>
    </row>
    <row r="545" spans="1:14" x14ac:dyDescent="0.3">
      <c r="A545" t="s">
        <v>585</v>
      </c>
      <c r="B545" s="1">
        <v>45103</v>
      </c>
      <c r="C545" t="s">
        <v>32</v>
      </c>
      <c r="D545" t="s">
        <v>43</v>
      </c>
      <c r="E545" t="s">
        <v>16</v>
      </c>
      <c r="F545" t="s">
        <v>17</v>
      </c>
      <c r="G545">
        <v>9</v>
      </c>
      <c r="H545">
        <v>4854</v>
      </c>
      <c r="I545">
        <v>0</v>
      </c>
      <c r="J545" t="s">
        <v>18</v>
      </c>
      <c r="K545" t="s">
        <v>30</v>
      </c>
      <c r="L545" t="s">
        <v>20</v>
      </c>
      <c r="M545" t="s">
        <v>21</v>
      </c>
      <c r="N545">
        <v>43686</v>
      </c>
    </row>
    <row r="546" spans="1:14" x14ac:dyDescent="0.3">
      <c r="A546" t="s">
        <v>586</v>
      </c>
      <c r="B546" s="1">
        <v>45025</v>
      </c>
      <c r="C546" t="s">
        <v>46</v>
      </c>
      <c r="D546" t="s">
        <v>43</v>
      </c>
      <c r="E546" t="s">
        <v>27</v>
      </c>
      <c r="F546" t="s">
        <v>28</v>
      </c>
      <c r="G546">
        <v>8</v>
      </c>
      <c r="H546">
        <v>22834</v>
      </c>
      <c r="I546">
        <v>18267.2</v>
      </c>
      <c r="J546" t="s">
        <v>29</v>
      </c>
      <c r="K546" t="s">
        <v>41</v>
      </c>
      <c r="L546" t="s">
        <v>37</v>
      </c>
      <c r="M546" t="s">
        <v>33</v>
      </c>
      <c r="N546">
        <v>164404.79999999999</v>
      </c>
    </row>
    <row r="547" spans="1:14" x14ac:dyDescent="0.3">
      <c r="A547" t="s">
        <v>587</v>
      </c>
      <c r="B547" s="1">
        <v>44962</v>
      </c>
      <c r="C547" t="s">
        <v>14</v>
      </c>
      <c r="D547" t="s">
        <v>43</v>
      </c>
      <c r="E547" t="s">
        <v>44</v>
      </c>
      <c r="F547" t="s">
        <v>17</v>
      </c>
      <c r="G547">
        <v>7</v>
      </c>
      <c r="H547">
        <v>32563</v>
      </c>
      <c r="I547">
        <v>45588.200000000004</v>
      </c>
      <c r="J547" t="s">
        <v>36</v>
      </c>
      <c r="K547" t="s">
        <v>30</v>
      </c>
      <c r="L547" t="s">
        <v>37</v>
      </c>
      <c r="M547" t="s">
        <v>24</v>
      </c>
      <c r="N547">
        <v>182352.8</v>
      </c>
    </row>
    <row r="548" spans="1:14" x14ac:dyDescent="0.3">
      <c r="A548" t="s">
        <v>588</v>
      </c>
      <c r="B548" s="1">
        <v>45022</v>
      </c>
      <c r="C548" t="s">
        <v>39</v>
      </c>
      <c r="D548" t="s">
        <v>40</v>
      </c>
      <c r="E548" t="s">
        <v>27</v>
      </c>
      <c r="F548" t="s">
        <v>47</v>
      </c>
      <c r="G548">
        <v>1</v>
      </c>
      <c r="H548">
        <v>11668</v>
      </c>
      <c r="I548">
        <v>583.4</v>
      </c>
      <c r="J548" t="s">
        <v>50</v>
      </c>
      <c r="K548" t="s">
        <v>41</v>
      </c>
      <c r="L548" t="s">
        <v>23</v>
      </c>
      <c r="M548" t="s">
        <v>21</v>
      </c>
      <c r="N548">
        <v>11084.6</v>
      </c>
    </row>
    <row r="549" spans="1:14" x14ac:dyDescent="0.3">
      <c r="A549" t="s">
        <v>589</v>
      </c>
      <c r="B549" s="1">
        <v>45078</v>
      </c>
      <c r="C549" t="s">
        <v>32</v>
      </c>
      <c r="D549" t="s">
        <v>40</v>
      </c>
      <c r="E549" t="s">
        <v>27</v>
      </c>
      <c r="F549" t="s">
        <v>17</v>
      </c>
      <c r="G549">
        <v>4</v>
      </c>
      <c r="H549">
        <v>33122</v>
      </c>
      <c r="I549">
        <v>26497.600000000002</v>
      </c>
      <c r="J549" t="s">
        <v>29</v>
      </c>
      <c r="K549" t="s">
        <v>41</v>
      </c>
      <c r="L549" t="s">
        <v>20</v>
      </c>
      <c r="M549" t="s">
        <v>21</v>
      </c>
      <c r="N549">
        <v>105990.39999999999</v>
      </c>
    </row>
    <row r="550" spans="1:14" x14ac:dyDescent="0.3">
      <c r="A550" t="s">
        <v>590</v>
      </c>
      <c r="B550" s="1">
        <v>45077</v>
      </c>
      <c r="C550" t="s">
        <v>32</v>
      </c>
      <c r="D550" t="s">
        <v>40</v>
      </c>
      <c r="E550" t="s">
        <v>16</v>
      </c>
      <c r="F550" t="s">
        <v>47</v>
      </c>
      <c r="G550">
        <v>7</v>
      </c>
      <c r="H550">
        <v>40918</v>
      </c>
      <c r="I550">
        <v>28642.600000000002</v>
      </c>
      <c r="J550" t="s">
        <v>18</v>
      </c>
      <c r="K550" t="s">
        <v>41</v>
      </c>
      <c r="L550" t="s">
        <v>23</v>
      </c>
      <c r="M550" t="s">
        <v>21</v>
      </c>
      <c r="N550">
        <v>257783.4</v>
      </c>
    </row>
    <row r="551" spans="1:14" x14ac:dyDescent="0.3">
      <c r="A551" t="s">
        <v>591</v>
      </c>
      <c r="B551" s="1">
        <v>45116</v>
      </c>
      <c r="C551" t="s">
        <v>39</v>
      </c>
      <c r="D551" t="s">
        <v>43</v>
      </c>
      <c r="E551" t="s">
        <v>16</v>
      </c>
      <c r="F551" t="s">
        <v>47</v>
      </c>
      <c r="G551">
        <v>7</v>
      </c>
      <c r="H551">
        <v>48291</v>
      </c>
      <c r="I551">
        <v>0</v>
      </c>
      <c r="J551" t="s">
        <v>29</v>
      </c>
      <c r="K551" t="s">
        <v>41</v>
      </c>
      <c r="L551" t="s">
        <v>23</v>
      </c>
      <c r="M551" t="s">
        <v>33</v>
      </c>
      <c r="N551">
        <v>338037</v>
      </c>
    </row>
    <row r="552" spans="1:14" x14ac:dyDescent="0.3">
      <c r="A552" t="s">
        <v>592</v>
      </c>
      <c r="B552" s="1">
        <v>45150</v>
      </c>
      <c r="C552" t="s">
        <v>46</v>
      </c>
      <c r="D552" t="s">
        <v>43</v>
      </c>
      <c r="E552" t="s">
        <v>16</v>
      </c>
      <c r="F552" t="s">
        <v>17</v>
      </c>
      <c r="G552">
        <v>6</v>
      </c>
      <c r="H552">
        <v>17580</v>
      </c>
      <c r="I552">
        <v>10548</v>
      </c>
      <c r="J552" t="s">
        <v>29</v>
      </c>
      <c r="K552" t="s">
        <v>41</v>
      </c>
      <c r="L552" t="s">
        <v>23</v>
      </c>
      <c r="M552" t="s">
        <v>33</v>
      </c>
      <c r="N552">
        <v>94932</v>
      </c>
    </row>
    <row r="553" spans="1:14" x14ac:dyDescent="0.3">
      <c r="A553" t="s">
        <v>593</v>
      </c>
      <c r="B553" s="1">
        <v>44963</v>
      </c>
      <c r="C553" t="s">
        <v>39</v>
      </c>
      <c r="D553" t="s">
        <v>40</v>
      </c>
      <c r="E553" t="s">
        <v>16</v>
      </c>
      <c r="F553" t="s">
        <v>35</v>
      </c>
      <c r="G553">
        <v>8</v>
      </c>
      <c r="H553">
        <v>27070</v>
      </c>
      <c r="I553">
        <v>32484</v>
      </c>
      <c r="J553" t="s">
        <v>18</v>
      </c>
      <c r="K553" t="s">
        <v>30</v>
      </c>
      <c r="L553" t="s">
        <v>23</v>
      </c>
      <c r="M553" t="s">
        <v>33</v>
      </c>
      <c r="N553">
        <v>184076</v>
      </c>
    </row>
    <row r="554" spans="1:14" x14ac:dyDescent="0.3">
      <c r="A554" t="s">
        <v>594</v>
      </c>
      <c r="B554" s="1">
        <v>45194</v>
      </c>
      <c r="C554" t="s">
        <v>46</v>
      </c>
      <c r="D554" t="s">
        <v>15</v>
      </c>
      <c r="E554" t="s">
        <v>27</v>
      </c>
      <c r="F554" t="s">
        <v>49</v>
      </c>
      <c r="G554">
        <v>6</v>
      </c>
      <c r="H554">
        <v>37594</v>
      </c>
      <c r="I554">
        <v>33834.6</v>
      </c>
      <c r="J554" t="s">
        <v>36</v>
      </c>
      <c r="K554" t="s">
        <v>41</v>
      </c>
      <c r="L554" t="s">
        <v>20</v>
      </c>
      <c r="M554" t="s">
        <v>21</v>
      </c>
      <c r="N554">
        <v>191729.4</v>
      </c>
    </row>
    <row r="555" spans="1:14" x14ac:dyDescent="0.3">
      <c r="A555" t="s">
        <v>595</v>
      </c>
      <c r="B555" s="1">
        <v>45109</v>
      </c>
      <c r="C555" t="s">
        <v>39</v>
      </c>
      <c r="D555" t="s">
        <v>43</v>
      </c>
      <c r="E555" t="s">
        <v>16</v>
      </c>
      <c r="F555" t="s">
        <v>28</v>
      </c>
      <c r="G555">
        <v>3</v>
      </c>
      <c r="H555">
        <v>14459</v>
      </c>
      <c r="I555">
        <v>8675.4</v>
      </c>
      <c r="J555" t="s">
        <v>36</v>
      </c>
      <c r="K555" t="s">
        <v>19</v>
      </c>
      <c r="L555" t="s">
        <v>37</v>
      </c>
      <c r="M555" t="s">
        <v>33</v>
      </c>
      <c r="N555">
        <v>34701.599999999999</v>
      </c>
    </row>
    <row r="556" spans="1:14" x14ac:dyDescent="0.3">
      <c r="A556" t="s">
        <v>596</v>
      </c>
      <c r="B556" s="1">
        <v>44939</v>
      </c>
      <c r="C556" t="s">
        <v>39</v>
      </c>
      <c r="D556" t="s">
        <v>15</v>
      </c>
      <c r="E556" t="s">
        <v>16</v>
      </c>
      <c r="F556" t="s">
        <v>49</v>
      </c>
      <c r="G556">
        <v>4</v>
      </c>
      <c r="H556">
        <v>15073</v>
      </c>
      <c r="I556">
        <v>12058.400000000001</v>
      </c>
      <c r="J556" t="s">
        <v>29</v>
      </c>
      <c r="K556" t="s">
        <v>19</v>
      </c>
      <c r="L556" t="s">
        <v>23</v>
      </c>
      <c r="M556" t="s">
        <v>21</v>
      </c>
      <c r="N556">
        <v>48233.599999999999</v>
      </c>
    </row>
    <row r="557" spans="1:14" x14ac:dyDescent="0.3">
      <c r="A557" t="s">
        <v>597</v>
      </c>
      <c r="B557" s="1">
        <v>45205</v>
      </c>
      <c r="C557" t="s">
        <v>26</v>
      </c>
      <c r="D557" t="s">
        <v>15</v>
      </c>
      <c r="E557" t="s">
        <v>16</v>
      </c>
      <c r="F557" t="s">
        <v>28</v>
      </c>
      <c r="G557">
        <v>3</v>
      </c>
      <c r="H557">
        <v>13216</v>
      </c>
      <c r="I557">
        <v>1982.4</v>
      </c>
      <c r="J557" t="s">
        <v>18</v>
      </c>
      <c r="K557" t="s">
        <v>41</v>
      </c>
      <c r="L557" t="s">
        <v>23</v>
      </c>
      <c r="M557" t="s">
        <v>24</v>
      </c>
      <c r="N557">
        <v>37665.599999999999</v>
      </c>
    </row>
    <row r="558" spans="1:14" x14ac:dyDescent="0.3">
      <c r="A558" t="s">
        <v>598</v>
      </c>
      <c r="B558" s="1">
        <v>45143</v>
      </c>
      <c r="C558" t="s">
        <v>32</v>
      </c>
      <c r="D558" t="s">
        <v>43</v>
      </c>
      <c r="E558" t="s">
        <v>16</v>
      </c>
      <c r="F558" t="s">
        <v>28</v>
      </c>
      <c r="G558">
        <v>1</v>
      </c>
      <c r="H558">
        <v>42337</v>
      </c>
      <c r="I558">
        <v>2116.85</v>
      </c>
      <c r="J558" t="s">
        <v>50</v>
      </c>
      <c r="K558" t="s">
        <v>19</v>
      </c>
      <c r="L558" t="s">
        <v>23</v>
      </c>
      <c r="M558" t="s">
        <v>21</v>
      </c>
      <c r="N558">
        <v>40220.15</v>
      </c>
    </row>
    <row r="559" spans="1:14" x14ac:dyDescent="0.3">
      <c r="A559" t="s">
        <v>599</v>
      </c>
      <c r="B559" s="1">
        <v>45281</v>
      </c>
      <c r="C559" t="s">
        <v>39</v>
      </c>
      <c r="D559" t="s">
        <v>43</v>
      </c>
      <c r="E559" t="s">
        <v>27</v>
      </c>
      <c r="F559" t="s">
        <v>47</v>
      </c>
      <c r="G559">
        <v>5</v>
      </c>
      <c r="H559">
        <v>353</v>
      </c>
      <c r="I559">
        <v>264.75</v>
      </c>
      <c r="J559" t="s">
        <v>29</v>
      </c>
      <c r="K559" t="s">
        <v>30</v>
      </c>
      <c r="L559" t="s">
        <v>23</v>
      </c>
      <c r="M559" t="s">
        <v>33</v>
      </c>
      <c r="N559">
        <v>1500.25</v>
      </c>
    </row>
    <row r="560" spans="1:14" x14ac:dyDescent="0.3">
      <c r="A560" t="s">
        <v>600</v>
      </c>
      <c r="B560" s="1">
        <v>45287</v>
      </c>
      <c r="C560" t="s">
        <v>39</v>
      </c>
      <c r="D560" t="s">
        <v>15</v>
      </c>
      <c r="E560" t="s">
        <v>16</v>
      </c>
      <c r="F560" t="s">
        <v>28</v>
      </c>
      <c r="G560">
        <v>1</v>
      </c>
      <c r="H560">
        <v>8053</v>
      </c>
      <c r="I560">
        <v>0</v>
      </c>
      <c r="J560" t="s">
        <v>50</v>
      </c>
      <c r="K560" t="s">
        <v>30</v>
      </c>
      <c r="L560" t="s">
        <v>37</v>
      </c>
      <c r="M560" t="s">
        <v>24</v>
      </c>
      <c r="N560">
        <v>8053</v>
      </c>
    </row>
    <row r="561" spans="1:14" x14ac:dyDescent="0.3">
      <c r="A561" t="s">
        <v>601</v>
      </c>
      <c r="B561" s="1">
        <v>45212</v>
      </c>
      <c r="C561" t="s">
        <v>14</v>
      </c>
      <c r="D561" t="s">
        <v>15</v>
      </c>
      <c r="E561" t="s">
        <v>27</v>
      </c>
      <c r="F561" t="s">
        <v>28</v>
      </c>
      <c r="G561">
        <v>1</v>
      </c>
      <c r="H561">
        <v>12579</v>
      </c>
      <c r="I561">
        <v>1257.9000000000001</v>
      </c>
      <c r="J561" t="s">
        <v>29</v>
      </c>
      <c r="K561" t="s">
        <v>41</v>
      </c>
      <c r="L561" t="s">
        <v>37</v>
      </c>
      <c r="M561" t="s">
        <v>21</v>
      </c>
      <c r="N561">
        <v>11321.1</v>
      </c>
    </row>
    <row r="562" spans="1:14" x14ac:dyDescent="0.3">
      <c r="A562" t="s">
        <v>602</v>
      </c>
      <c r="B562" s="1">
        <v>45199</v>
      </c>
      <c r="C562" t="s">
        <v>32</v>
      </c>
      <c r="D562" t="s">
        <v>40</v>
      </c>
      <c r="E562" t="s">
        <v>44</v>
      </c>
      <c r="F562" t="s">
        <v>17</v>
      </c>
      <c r="G562">
        <v>2</v>
      </c>
      <c r="H562">
        <v>15992</v>
      </c>
      <c r="I562">
        <v>1599.2</v>
      </c>
      <c r="J562" t="s">
        <v>29</v>
      </c>
      <c r="K562" t="s">
        <v>41</v>
      </c>
      <c r="L562" t="s">
        <v>37</v>
      </c>
      <c r="M562" t="s">
        <v>24</v>
      </c>
      <c r="N562">
        <v>30384.799999999999</v>
      </c>
    </row>
    <row r="563" spans="1:14" x14ac:dyDescent="0.3">
      <c r="A563" t="s">
        <v>603</v>
      </c>
      <c r="B563" s="1">
        <v>44988</v>
      </c>
      <c r="C563" t="s">
        <v>14</v>
      </c>
      <c r="D563" t="s">
        <v>40</v>
      </c>
      <c r="E563" t="s">
        <v>27</v>
      </c>
      <c r="F563" t="s">
        <v>49</v>
      </c>
      <c r="G563">
        <v>4</v>
      </c>
      <c r="H563">
        <v>38567</v>
      </c>
      <c r="I563">
        <v>7713.4000000000005</v>
      </c>
      <c r="J563" t="s">
        <v>18</v>
      </c>
      <c r="K563" t="s">
        <v>41</v>
      </c>
      <c r="L563" t="s">
        <v>37</v>
      </c>
      <c r="M563" t="s">
        <v>24</v>
      </c>
      <c r="N563">
        <v>146554.6</v>
      </c>
    </row>
    <row r="564" spans="1:14" x14ac:dyDescent="0.3">
      <c r="A564" t="s">
        <v>604</v>
      </c>
      <c r="B564" s="1">
        <v>45010</v>
      </c>
      <c r="C564" t="s">
        <v>32</v>
      </c>
      <c r="D564" t="s">
        <v>43</v>
      </c>
      <c r="E564" t="s">
        <v>27</v>
      </c>
      <c r="F564" t="s">
        <v>17</v>
      </c>
      <c r="G564">
        <v>6</v>
      </c>
      <c r="H564">
        <v>18300</v>
      </c>
      <c r="I564">
        <v>0</v>
      </c>
      <c r="J564" t="s">
        <v>18</v>
      </c>
      <c r="K564" t="s">
        <v>19</v>
      </c>
      <c r="L564" t="s">
        <v>23</v>
      </c>
      <c r="M564" t="s">
        <v>24</v>
      </c>
      <c r="N564">
        <v>109800</v>
      </c>
    </row>
    <row r="565" spans="1:14" x14ac:dyDescent="0.3">
      <c r="A565" t="s">
        <v>605</v>
      </c>
      <c r="B565" s="1">
        <v>45143</v>
      </c>
      <c r="C565" t="s">
        <v>14</v>
      </c>
      <c r="D565" t="s">
        <v>40</v>
      </c>
      <c r="E565" t="s">
        <v>16</v>
      </c>
      <c r="F565" t="s">
        <v>28</v>
      </c>
      <c r="G565">
        <v>8</v>
      </c>
      <c r="H565">
        <v>47753</v>
      </c>
      <c r="I565">
        <v>0</v>
      </c>
      <c r="J565" t="s">
        <v>50</v>
      </c>
      <c r="K565" t="s">
        <v>19</v>
      </c>
      <c r="L565" t="s">
        <v>20</v>
      </c>
      <c r="M565" t="s">
        <v>21</v>
      </c>
      <c r="N565">
        <v>382024</v>
      </c>
    </row>
    <row r="566" spans="1:14" x14ac:dyDescent="0.3">
      <c r="A566" t="s">
        <v>606</v>
      </c>
      <c r="B566" s="1">
        <v>45268</v>
      </c>
      <c r="C566" t="s">
        <v>39</v>
      </c>
      <c r="D566" t="s">
        <v>40</v>
      </c>
      <c r="E566" t="s">
        <v>44</v>
      </c>
      <c r="F566" t="s">
        <v>47</v>
      </c>
      <c r="G566">
        <v>3</v>
      </c>
      <c r="H566">
        <v>11249</v>
      </c>
      <c r="I566">
        <v>6749.4000000000005</v>
      </c>
      <c r="J566" t="s">
        <v>50</v>
      </c>
      <c r="K566" t="s">
        <v>30</v>
      </c>
      <c r="L566" t="s">
        <v>37</v>
      </c>
      <c r="M566" t="s">
        <v>33</v>
      </c>
      <c r="N566">
        <v>26997.599999999999</v>
      </c>
    </row>
    <row r="567" spans="1:14" x14ac:dyDescent="0.3">
      <c r="A567" t="s">
        <v>607</v>
      </c>
      <c r="B567" s="1">
        <v>45113</v>
      </c>
      <c r="C567" t="s">
        <v>39</v>
      </c>
      <c r="D567" t="s">
        <v>40</v>
      </c>
      <c r="E567" t="s">
        <v>44</v>
      </c>
      <c r="F567" t="s">
        <v>17</v>
      </c>
      <c r="G567">
        <v>1</v>
      </c>
      <c r="H567">
        <v>986</v>
      </c>
      <c r="I567">
        <v>98.600000000000009</v>
      </c>
      <c r="J567" t="s">
        <v>36</v>
      </c>
      <c r="K567" t="s">
        <v>19</v>
      </c>
      <c r="L567" t="s">
        <v>37</v>
      </c>
      <c r="M567" t="s">
        <v>21</v>
      </c>
      <c r="N567">
        <v>887.4</v>
      </c>
    </row>
    <row r="568" spans="1:14" x14ac:dyDescent="0.3">
      <c r="A568" t="s">
        <v>608</v>
      </c>
      <c r="B568" s="1">
        <v>44945</v>
      </c>
      <c r="C568" t="s">
        <v>26</v>
      </c>
      <c r="D568" t="s">
        <v>40</v>
      </c>
      <c r="E568" t="s">
        <v>44</v>
      </c>
      <c r="F568" t="s">
        <v>17</v>
      </c>
      <c r="G568">
        <v>3</v>
      </c>
      <c r="H568">
        <v>4568</v>
      </c>
      <c r="I568">
        <v>0</v>
      </c>
      <c r="J568" t="s">
        <v>18</v>
      </c>
      <c r="K568" t="s">
        <v>30</v>
      </c>
      <c r="L568" t="s">
        <v>23</v>
      </c>
      <c r="M568" t="s">
        <v>33</v>
      </c>
      <c r="N568">
        <v>13704</v>
      </c>
    </row>
    <row r="569" spans="1:14" x14ac:dyDescent="0.3">
      <c r="A569" t="s">
        <v>609</v>
      </c>
      <c r="B569" s="1">
        <v>45103</v>
      </c>
      <c r="C569" t="s">
        <v>14</v>
      </c>
      <c r="D569" t="s">
        <v>15</v>
      </c>
      <c r="E569" t="s">
        <v>44</v>
      </c>
      <c r="F569" t="s">
        <v>35</v>
      </c>
      <c r="G569">
        <v>3</v>
      </c>
      <c r="H569">
        <v>30899</v>
      </c>
      <c r="I569">
        <v>4634.8500000000004</v>
      </c>
      <c r="J569" t="s">
        <v>29</v>
      </c>
      <c r="K569" t="s">
        <v>19</v>
      </c>
      <c r="L569" t="s">
        <v>23</v>
      </c>
      <c r="M569" t="s">
        <v>21</v>
      </c>
      <c r="N569">
        <v>88062.15</v>
      </c>
    </row>
    <row r="570" spans="1:14" x14ac:dyDescent="0.3">
      <c r="A570" t="s">
        <v>610</v>
      </c>
      <c r="B570" s="1">
        <v>45026</v>
      </c>
      <c r="C570" t="s">
        <v>46</v>
      </c>
      <c r="D570" t="s">
        <v>43</v>
      </c>
      <c r="E570" t="s">
        <v>27</v>
      </c>
      <c r="F570" t="s">
        <v>28</v>
      </c>
      <c r="G570">
        <v>5</v>
      </c>
      <c r="H570">
        <v>47891</v>
      </c>
      <c r="I570">
        <v>11972.75</v>
      </c>
      <c r="J570" t="s">
        <v>29</v>
      </c>
      <c r="K570" t="s">
        <v>30</v>
      </c>
      <c r="L570" t="s">
        <v>23</v>
      </c>
      <c r="M570" t="s">
        <v>21</v>
      </c>
      <c r="N570">
        <v>227482.25</v>
      </c>
    </row>
    <row r="571" spans="1:14" x14ac:dyDescent="0.3">
      <c r="A571" t="s">
        <v>611</v>
      </c>
      <c r="B571" s="1">
        <v>45159</v>
      </c>
      <c r="C571" t="s">
        <v>26</v>
      </c>
      <c r="D571" t="s">
        <v>40</v>
      </c>
      <c r="E571" t="s">
        <v>44</v>
      </c>
      <c r="F571" t="s">
        <v>47</v>
      </c>
      <c r="G571">
        <v>4</v>
      </c>
      <c r="H571">
        <v>37240</v>
      </c>
      <c r="I571">
        <v>22344</v>
      </c>
      <c r="J571" t="s">
        <v>36</v>
      </c>
      <c r="K571" t="s">
        <v>41</v>
      </c>
      <c r="L571" t="s">
        <v>23</v>
      </c>
      <c r="M571" t="s">
        <v>21</v>
      </c>
      <c r="N571">
        <v>126616</v>
      </c>
    </row>
    <row r="572" spans="1:14" x14ac:dyDescent="0.3">
      <c r="A572" t="s">
        <v>612</v>
      </c>
      <c r="B572" s="1">
        <v>45002</v>
      </c>
      <c r="C572" t="s">
        <v>14</v>
      </c>
      <c r="D572" t="s">
        <v>15</v>
      </c>
      <c r="E572" t="s">
        <v>27</v>
      </c>
      <c r="F572" t="s">
        <v>17</v>
      </c>
      <c r="G572">
        <v>4</v>
      </c>
      <c r="H572">
        <v>27654</v>
      </c>
      <c r="I572">
        <v>0</v>
      </c>
      <c r="J572" t="s">
        <v>18</v>
      </c>
      <c r="K572" t="s">
        <v>19</v>
      </c>
      <c r="L572" t="s">
        <v>20</v>
      </c>
      <c r="M572" t="s">
        <v>33</v>
      </c>
      <c r="N572">
        <v>110616</v>
      </c>
    </row>
    <row r="573" spans="1:14" x14ac:dyDescent="0.3">
      <c r="A573" t="s">
        <v>613</v>
      </c>
      <c r="B573" s="1">
        <v>45191</v>
      </c>
      <c r="C573" t="s">
        <v>14</v>
      </c>
      <c r="D573" t="s">
        <v>15</v>
      </c>
      <c r="E573" t="s">
        <v>27</v>
      </c>
      <c r="F573" t="s">
        <v>17</v>
      </c>
      <c r="G573">
        <v>9</v>
      </c>
      <c r="H573">
        <v>38962</v>
      </c>
      <c r="I573">
        <v>70131.600000000006</v>
      </c>
      <c r="J573" t="s">
        <v>29</v>
      </c>
      <c r="K573" t="s">
        <v>30</v>
      </c>
      <c r="L573" t="s">
        <v>20</v>
      </c>
      <c r="M573" t="s">
        <v>21</v>
      </c>
      <c r="N573">
        <v>280526.40000000002</v>
      </c>
    </row>
    <row r="574" spans="1:14" x14ac:dyDescent="0.3">
      <c r="A574" t="s">
        <v>614</v>
      </c>
      <c r="B574" s="1">
        <v>45210</v>
      </c>
      <c r="C574" t="s">
        <v>26</v>
      </c>
      <c r="D574" t="s">
        <v>15</v>
      </c>
      <c r="E574" t="s">
        <v>27</v>
      </c>
      <c r="F574" t="s">
        <v>47</v>
      </c>
      <c r="G574">
        <v>7</v>
      </c>
      <c r="H574">
        <v>23800</v>
      </c>
      <c r="I574">
        <v>16660</v>
      </c>
      <c r="J574" t="s">
        <v>36</v>
      </c>
      <c r="K574" t="s">
        <v>19</v>
      </c>
      <c r="L574" t="s">
        <v>37</v>
      </c>
      <c r="M574" t="s">
        <v>24</v>
      </c>
      <c r="N574">
        <v>149940</v>
      </c>
    </row>
    <row r="575" spans="1:14" x14ac:dyDescent="0.3">
      <c r="A575" t="s">
        <v>615</v>
      </c>
      <c r="B575" s="1">
        <v>45132</v>
      </c>
      <c r="C575" t="s">
        <v>39</v>
      </c>
      <c r="D575" t="s">
        <v>40</v>
      </c>
      <c r="E575" t="s">
        <v>44</v>
      </c>
      <c r="F575" t="s">
        <v>28</v>
      </c>
      <c r="G575">
        <v>4</v>
      </c>
      <c r="H575">
        <v>29438</v>
      </c>
      <c r="I575">
        <v>23550.400000000001</v>
      </c>
      <c r="J575" t="s">
        <v>36</v>
      </c>
      <c r="K575" t="s">
        <v>41</v>
      </c>
      <c r="L575" t="s">
        <v>20</v>
      </c>
      <c r="M575" t="s">
        <v>21</v>
      </c>
      <c r="N575">
        <v>94201.600000000006</v>
      </c>
    </row>
    <row r="576" spans="1:14" x14ac:dyDescent="0.3">
      <c r="A576" t="s">
        <v>616</v>
      </c>
      <c r="B576" s="1">
        <v>45149</v>
      </c>
      <c r="C576" t="s">
        <v>14</v>
      </c>
      <c r="D576" t="s">
        <v>40</v>
      </c>
      <c r="E576" t="s">
        <v>16</v>
      </c>
      <c r="F576" t="s">
        <v>35</v>
      </c>
      <c r="G576">
        <v>3</v>
      </c>
      <c r="H576">
        <v>25441</v>
      </c>
      <c r="I576">
        <v>3816.15</v>
      </c>
      <c r="J576" t="s">
        <v>29</v>
      </c>
      <c r="K576" t="s">
        <v>30</v>
      </c>
      <c r="L576" t="s">
        <v>37</v>
      </c>
      <c r="M576" t="s">
        <v>24</v>
      </c>
      <c r="N576">
        <v>72506.849999999904</v>
      </c>
    </row>
    <row r="577" spans="1:14" x14ac:dyDescent="0.3">
      <c r="A577" t="s">
        <v>617</v>
      </c>
      <c r="B577" s="1">
        <v>44978</v>
      </c>
      <c r="C577" t="s">
        <v>39</v>
      </c>
      <c r="D577" t="s">
        <v>43</v>
      </c>
      <c r="E577" t="s">
        <v>16</v>
      </c>
      <c r="F577" t="s">
        <v>17</v>
      </c>
      <c r="G577">
        <v>6</v>
      </c>
      <c r="H577">
        <v>20010</v>
      </c>
      <c r="I577">
        <v>24012</v>
      </c>
      <c r="J577" t="s">
        <v>29</v>
      </c>
      <c r="K577" t="s">
        <v>19</v>
      </c>
      <c r="L577" t="s">
        <v>37</v>
      </c>
      <c r="M577" t="s">
        <v>33</v>
      </c>
      <c r="N577">
        <v>96048</v>
      </c>
    </row>
    <row r="578" spans="1:14" x14ac:dyDescent="0.3">
      <c r="A578" t="s">
        <v>618</v>
      </c>
      <c r="B578" s="1">
        <v>45265</v>
      </c>
      <c r="C578" t="s">
        <v>26</v>
      </c>
      <c r="D578" t="s">
        <v>40</v>
      </c>
      <c r="E578" t="s">
        <v>44</v>
      </c>
      <c r="F578" t="s">
        <v>35</v>
      </c>
      <c r="G578">
        <v>3</v>
      </c>
      <c r="H578">
        <v>20367</v>
      </c>
      <c r="I578">
        <v>3055.05</v>
      </c>
      <c r="J578" t="s">
        <v>50</v>
      </c>
      <c r="K578" t="s">
        <v>19</v>
      </c>
      <c r="L578" t="s">
        <v>20</v>
      </c>
      <c r="M578" t="s">
        <v>33</v>
      </c>
      <c r="N578">
        <v>58045.95</v>
      </c>
    </row>
    <row r="579" spans="1:14" x14ac:dyDescent="0.3">
      <c r="A579" t="s">
        <v>619</v>
      </c>
      <c r="B579" s="1">
        <v>45070</v>
      </c>
      <c r="C579" t="s">
        <v>39</v>
      </c>
      <c r="D579" t="s">
        <v>40</v>
      </c>
      <c r="E579" t="s">
        <v>16</v>
      </c>
      <c r="F579" t="s">
        <v>49</v>
      </c>
      <c r="G579">
        <v>6</v>
      </c>
      <c r="H579">
        <v>22011</v>
      </c>
      <c r="I579">
        <v>6603.3</v>
      </c>
      <c r="J579" t="s">
        <v>18</v>
      </c>
      <c r="K579" t="s">
        <v>41</v>
      </c>
      <c r="L579" t="s">
        <v>37</v>
      </c>
      <c r="M579" t="s">
        <v>21</v>
      </c>
      <c r="N579">
        <v>125462.7</v>
      </c>
    </row>
    <row r="580" spans="1:14" x14ac:dyDescent="0.3">
      <c r="A580" t="s">
        <v>620</v>
      </c>
      <c r="B580" s="1">
        <v>44995</v>
      </c>
      <c r="C580" t="s">
        <v>32</v>
      </c>
      <c r="D580" t="s">
        <v>15</v>
      </c>
      <c r="E580" t="s">
        <v>16</v>
      </c>
      <c r="F580" t="s">
        <v>28</v>
      </c>
      <c r="G580">
        <v>9</v>
      </c>
      <c r="H580">
        <v>39979</v>
      </c>
      <c r="I580">
        <v>17990.55</v>
      </c>
      <c r="J580" t="s">
        <v>50</v>
      </c>
      <c r="K580" t="s">
        <v>41</v>
      </c>
      <c r="L580" t="s">
        <v>23</v>
      </c>
      <c r="M580" t="s">
        <v>21</v>
      </c>
      <c r="N580">
        <v>341820.45</v>
      </c>
    </row>
    <row r="581" spans="1:14" x14ac:dyDescent="0.3">
      <c r="A581" t="s">
        <v>621</v>
      </c>
      <c r="B581" s="1">
        <v>45025</v>
      </c>
      <c r="C581" t="s">
        <v>46</v>
      </c>
      <c r="D581" t="s">
        <v>43</v>
      </c>
      <c r="E581" t="s">
        <v>27</v>
      </c>
      <c r="F581" t="s">
        <v>49</v>
      </c>
      <c r="G581">
        <v>6</v>
      </c>
      <c r="H581">
        <v>20285</v>
      </c>
      <c r="I581">
        <v>6085.5</v>
      </c>
      <c r="J581" t="s">
        <v>36</v>
      </c>
      <c r="K581" t="s">
        <v>30</v>
      </c>
      <c r="L581" t="s">
        <v>37</v>
      </c>
      <c r="M581" t="s">
        <v>21</v>
      </c>
      <c r="N581">
        <v>115624.5</v>
      </c>
    </row>
    <row r="582" spans="1:14" x14ac:dyDescent="0.3">
      <c r="A582" t="s">
        <v>622</v>
      </c>
      <c r="B582" s="1">
        <v>44951</v>
      </c>
      <c r="C582" t="s">
        <v>14</v>
      </c>
      <c r="D582" t="s">
        <v>40</v>
      </c>
      <c r="E582" t="s">
        <v>27</v>
      </c>
      <c r="F582" t="s">
        <v>49</v>
      </c>
      <c r="G582">
        <v>4</v>
      </c>
      <c r="H582">
        <v>47054</v>
      </c>
      <c r="I582">
        <v>9410.8000000000011</v>
      </c>
      <c r="J582" t="s">
        <v>29</v>
      </c>
      <c r="K582" t="s">
        <v>19</v>
      </c>
      <c r="L582" t="s">
        <v>23</v>
      </c>
      <c r="M582" t="s">
        <v>24</v>
      </c>
      <c r="N582">
        <v>178805.19999999899</v>
      </c>
    </row>
    <row r="583" spans="1:14" x14ac:dyDescent="0.3">
      <c r="A583" t="s">
        <v>623</v>
      </c>
      <c r="B583" s="1">
        <v>44979</v>
      </c>
      <c r="C583" t="s">
        <v>46</v>
      </c>
      <c r="D583" t="s">
        <v>40</v>
      </c>
      <c r="E583" t="s">
        <v>44</v>
      </c>
      <c r="F583" t="s">
        <v>49</v>
      </c>
      <c r="G583">
        <v>5</v>
      </c>
      <c r="H583">
        <v>9461</v>
      </c>
      <c r="I583">
        <v>7095.75</v>
      </c>
      <c r="J583" t="s">
        <v>50</v>
      </c>
      <c r="K583" t="s">
        <v>19</v>
      </c>
      <c r="L583" t="s">
        <v>20</v>
      </c>
      <c r="M583" t="s">
        <v>33</v>
      </c>
      <c r="N583">
        <v>40209.25</v>
      </c>
    </row>
    <row r="584" spans="1:14" x14ac:dyDescent="0.3">
      <c r="A584" t="s">
        <v>624</v>
      </c>
      <c r="B584" s="1">
        <v>45077</v>
      </c>
      <c r="C584" t="s">
        <v>39</v>
      </c>
      <c r="D584" t="s">
        <v>15</v>
      </c>
      <c r="E584" t="s">
        <v>44</v>
      </c>
      <c r="F584" t="s">
        <v>28</v>
      </c>
      <c r="G584">
        <v>6</v>
      </c>
      <c r="H584">
        <v>18933</v>
      </c>
      <c r="I584">
        <v>22719.600000000002</v>
      </c>
      <c r="J584" t="s">
        <v>36</v>
      </c>
      <c r="K584" t="s">
        <v>41</v>
      </c>
      <c r="L584" t="s">
        <v>20</v>
      </c>
      <c r="M584" t="s">
        <v>24</v>
      </c>
      <c r="N584">
        <v>90878.399999999994</v>
      </c>
    </row>
    <row r="585" spans="1:14" x14ac:dyDescent="0.3">
      <c r="A585" t="s">
        <v>625</v>
      </c>
      <c r="B585" s="1">
        <v>45070</v>
      </c>
      <c r="C585" t="s">
        <v>14</v>
      </c>
      <c r="D585" t="s">
        <v>15</v>
      </c>
      <c r="E585" t="s">
        <v>16</v>
      </c>
      <c r="F585" t="s">
        <v>28</v>
      </c>
      <c r="G585">
        <v>3</v>
      </c>
      <c r="H585">
        <v>39979</v>
      </c>
      <c r="I585">
        <v>17990.55</v>
      </c>
      <c r="J585" t="s">
        <v>18</v>
      </c>
      <c r="K585" t="s">
        <v>41</v>
      </c>
      <c r="L585" t="s">
        <v>37</v>
      </c>
      <c r="M585" t="s">
        <v>24</v>
      </c>
      <c r="N585">
        <v>101946.45</v>
      </c>
    </row>
    <row r="586" spans="1:14" x14ac:dyDescent="0.3">
      <c r="A586" t="s">
        <v>626</v>
      </c>
      <c r="B586" s="1">
        <v>44983</v>
      </c>
      <c r="C586" t="s">
        <v>39</v>
      </c>
      <c r="D586" t="s">
        <v>40</v>
      </c>
      <c r="E586" t="s">
        <v>27</v>
      </c>
      <c r="F586" t="s">
        <v>47</v>
      </c>
      <c r="G586">
        <v>8</v>
      </c>
      <c r="H586">
        <v>29279</v>
      </c>
      <c r="I586">
        <v>35134.799999999996</v>
      </c>
      <c r="J586" t="s">
        <v>29</v>
      </c>
      <c r="K586" t="s">
        <v>30</v>
      </c>
      <c r="L586" t="s">
        <v>23</v>
      </c>
      <c r="M586" t="s">
        <v>21</v>
      </c>
      <c r="N586">
        <v>199097.19999999899</v>
      </c>
    </row>
    <row r="587" spans="1:14" x14ac:dyDescent="0.3">
      <c r="A587" t="s">
        <v>627</v>
      </c>
      <c r="B587" s="1">
        <v>44965</v>
      </c>
      <c r="C587" t="s">
        <v>32</v>
      </c>
      <c r="D587" t="s">
        <v>43</v>
      </c>
      <c r="E587" t="s">
        <v>44</v>
      </c>
      <c r="F587" t="s">
        <v>35</v>
      </c>
      <c r="G587">
        <v>4</v>
      </c>
      <c r="H587">
        <v>34180</v>
      </c>
      <c r="I587">
        <v>0</v>
      </c>
      <c r="J587" t="s">
        <v>50</v>
      </c>
      <c r="K587" t="s">
        <v>19</v>
      </c>
      <c r="L587" t="s">
        <v>37</v>
      </c>
      <c r="M587" t="s">
        <v>21</v>
      </c>
      <c r="N587">
        <v>136720</v>
      </c>
    </row>
    <row r="588" spans="1:14" x14ac:dyDescent="0.3">
      <c r="A588" t="s">
        <v>628</v>
      </c>
      <c r="B588" s="1">
        <v>45035</v>
      </c>
      <c r="C588" t="s">
        <v>26</v>
      </c>
      <c r="D588" t="s">
        <v>43</v>
      </c>
      <c r="E588" t="s">
        <v>44</v>
      </c>
      <c r="F588" t="s">
        <v>35</v>
      </c>
      <c r="G588">
        <v>8</v>
      </c>
      <c r="H588">
        <v>14341</v>
      </c>
      <c r="I588">
        <v>0</v>
      </c>
      <c r="J588" t="s">
        <v>18</v>
      </c>
      <c r="K588" t="s">
        <v>19</v>
      </c>
      <c r="L588" t="s">
        <v>20</v>
      </c>
      <c r="M588" t="s">
        <v>24</v>
      </c>
      <c r="N588">
        <v>114728</v>
      </c>
    </row>
    <row r="589" spans="1:14" x14ac:dyDescent="0.3">
      <c r="A589" t="s">
        <v>629</v>
      </c>
      <c r="B589" s="1">
        <v>45107</v>
      </c>
      <c r="C589" t="s">
        <v>14</v>
      </c>
      <c r="D589" t="s">
        <v>15</v>
      </c>
      <c r="E589" t="s">
        <v>44</v>
      </c>
      <c r="F589" t="s">
        <v>47</v>
      </c>
      <c r="G589">
        <v>3</v>
      </c>
      <c r="H589">
        <v>9544</v>
      </c>
      <c r="I589">
        <v>0</v>
      </c>
      <c r="J589" t="s">
        <v>50</v>
      </c>
      <c r="K589" t="s">
        <v>30</v>
      </c>
      <c r="L589" t="s">
        <v>37</v>
      </c>
      <c r="M589" t="s">
        <v>24</v>
      </c>
      <c r="N589">
        <v>28632</v>
      </c>
    </row>
    <row r="590" spans="1:14" x14ac:dyDescent="0.3">
      <c r="A590" t="s">
        <v>630</v>
      </c>
      <c r="B590" s="1">
        <v>44968</v>
      </c>
      <c r="C590" t="s">
        <v>32</v>
      </c>
      <c r="D590" t="s">
        <v>15</v>
      </c>
      <c r="E590" t="s">
        <v>44</v>
      </c>
      <c r="F590" t="s">
        <v>47</v>
      </c>
      <c r="G590">
        <v>7</v>
      </c>
      <c r="H590">
        <v>39672</v>
      </c>
      <c r="I590">
        <v>27770.400000000001</v>
      </c>
      <c r="J590" t="s">
        <v>36</v>
      </c>
      <c r="K590" t="s">
        <v>30</v>
      </c>
      <c r="L590" t="s">
        <v>37</v>
      </c>
      <c r="M590" t="s">
        <v>21</v>
      </c>
      <c r="N590">
        <v>249933.6</v>
      </c>
    </row>
    <row r="591" spans="1:14" x14ac:dyDescent="0.3">
      <c r="A591" t="s">
        <v>631</v>
      </c>
      <c r="B591" s="1">
        <v>45112</v>
      </c>
      <c r="C591" t="s">
        <v>32</v>
      </c>
      <c r="D591" t="s">
        <v>40</v>
      </c>
      <c r="E591" t="s">
        <v>44</v>
      </c>
      <c r="F591" t="s">
        <v>49</v>
      </c>
      <c r="G591">
        <v>9</v>
      </c>
      <c r="H591">
        <v>16096</v>
      </c>
      <c r="I591">
        <v>0</v>
      </c>
      <c r="J591" t="s">
        <v>18</v>
      </c>
      <c r="K591" t="s">
        <v>41</v>
      </c>
      <c r="L591" t="s">
        <v>23</v>
      </c>
      <c r="M591" t="s">
        <v>21</v>
      </c>
      <c r="N591">
        <v>144864</v>
      </c>
    </row>
    <row r="592" spans="1:14" x14ac:dyDescent="0.3">
      <c r="A592" t="s">
        <v>632</v>
      </c>
      <c r="B592" s="1">
        <v>45149</v>
      </c>
      <c r="C592" t="s">
        <v>14</v>
      </c>
      <c r="D592" t="s">
        <v>15</v>
      </c>
      <c r="E592" t="s">
        <v>44</v>
      </c>
      <c r="F592" t="s">
        <v>47</v>
      </c>
      <c r="G592">
        <v>4</v>
      </c>
      <c r="H592">
        <v>24017</v>
      </c>
      <c r="I592">
        <v>19213.600000000002</v>
      </c>
      <c r="J592" t="s">
        <v>50</v>
      </c>
      <c r="K592" t="s">
        <v>41</v>
      </c>
      <c r="L592" t="s">
        <v>20</v>
      </c>
      <c r="M592" t="s">
        <v>24</v>
      </c>
      <c r="N592">
        <v>76854.399999999994</v>
      </c>
    </row>
    <row r="593" spans="1:14" x14ac:dyDescent="0.3">
      <c r="A593" t="s">
        <v>633</v>
      </c>
      <c r="B593" s="1">
        <v>45048</v>
      </c>
      <c r="C593" t="s">
        <v>39</v>
      </c>
      <c r="D593" t="s">
        <v>40</v>
      </c>
      <c r="E593" t="s">
        <v>16</v>
      </c>
      <c r="F593" t="s">
        <v>17</v>
      </c>
      <c r="G593">
        <v>8</v>
      </c>
      <c r="H593">
        <v>30013</v>
      </c>
      <c r="I593">
        <v>36015.599999999999</v>
      </c>
      <c r="J593" t="s">
        <v>18</v>
      </c>
      <c r="K593" t="s">
        <v>30</v>
      </c>
      <c r="L593" t="s">
        <v>37</v>
      </c>
      <c r="M593" t="s">
        <v>21</v>
      </c>
      <c r="N593">
        <v>204088.4</v>
      </c>
    </row>
    <row r="594" spans="1:14" x14ac:dyDescent="0.3">
      <c r="A594" t="s">
        <v>634</v>
      </c>
      <c r="B594" s="1">
        <v>45059</v>
      </c>
      <c r="C594" t="s">
        <v>32</v>
      </c>
      <c r="D594" t="s">
        <v>43</v>
      </c>
      <c r="E594" t="s">
        <v>27</v>
      </c>
      <c r="F594" t="s">
        <v>35</v>
      </c>
      <c r="G594">
        <v>3</v>
      </c>
      <c r="H594">
        <v>19095</v>
      </c>
      <c r="I594">
        <v>11457</v>
      </c>
      <c r="J594" t="s">
        <v>36</v>
      </c>
      <c r="K594" t="s">
        <v>30</v>
      </c>
      <c r="L594" t="s">
        <v>23</v>
      </c>
      <c r="M594" t="s">
        <v>21</v>
      </c>
      <c r="N594">
        <v>45828</v>
      </c>
    </row>
    <row r="595" spans="1:14" x14ac:dyDescent="0.3">
      <c r="A595" t="s">
        <v>635</v>
      </c>
      <c r="B595" s="1">
        <v>45089</v>
      </c>
      <c r="C595" t="s">
        <v>46</v>
      </c>
      <c r="D595" t="s">
        <v>43</v>
      </c>
      <c r="E595" t="s">
        <v>27</v>
      </c>
      <c r="F595" t="s">
        <v>47</v>
      </c>
      <c r="G595">
        <v>7</v>
      </c>
      <c r="H595">
        <v>343</v>
      </c>
      <c r="I595">
        <v>0</v>
      </c>
      <c r="J595" t="s">
        <v>18</v>
      </c>
      <c r="K595" t="s">
        <v>19</v>
      </c>
      <c r="L595" t="s">
        <v>37</v>
      </c>
      <c r="M595" t="s">
        <v>24</v>
      </c>
      <c r="N595">
        <v>2401</v>
      </c>
    </row>
    <row r="596" spans="1:14" x14ac:dyDescent="0.3">
      <c r="A596" t="s">
        <v>636</v>
      </c>
      <c r="B596" s="1">
        <v>45141</v>
      </c>
      <c r="C596" t="s">
        <v>32</v>
      </c>
      <c r="D596" t="s">
        <v>40</v>
      </c>
      <c r="E596" t="s">
        <v>44</v>
      </c>
      <c r="F596" t="s">
        <v>17</v>
      </c>
      <c r="G596">
        <v>3</v>
      </c>
      <c r="H596">
        <v>10881</v>
      </c>
      <c r="I596">
        <v>3264.3</v>
      </c>
      <c r="J596" t="s">
        <v>50</v>
      </c>
      <c r="K596" t="s">
        <v>30</v>
      </c>
      <c r="L596" t="s">
        <v>23</v>
      </c>
      <c r="M596" t="s">
        <v>24</v>
      </c>
      <c r="N596">
        <v>29378.7</v>
      </c>
    </row>
    <row r="597" spans="1:14" x14ac:dyDescent="0.3">
      <c r="A597" t="s">
        <v>637</v>
      </c>
      <c r="B597" s="1">
        <v>45147</v>
      </c>
      <c r="C597" t="s">
        <v>39</v>
      </c>
      <c r="D597" t="s">
        <v>15</v>
      </c>
      <c r="E597" t="s">
        <v>27</v>
      </c>
      <c r="F597" t="s">
        <v>17</v>
      </c>
      <c r="G597">
        <v>7</v>
      </c>
      <c r="H597">
        <v>7567</v>
      </c>
      <c r="I597">
        <v>5296.9000000000005</v>
      </c>
      <c r="J597" t="s">
        <v>36</v>
      </c>
      <c r="K597" t="s">
        <v>30</v>
      </c>
      <c r="L597" t="s">
        <v>23</v>
      </c>
      <c r="M597" t="s">
        <v>33</v>
      </c>
      <c r="N597">
        <v>47672.1</v>
      </c>
    </row>
    <row r="598" spans="1:14" x14ac:dyDescent="0.3">
      <c r="A598" t="s">
        <v>638</v>
      </c>
      <c r="B598" s="1">
        <v>45161</v>
      </c>
      <c r="C598" t="s">
        <v>39</v>
      </c>
      <c r="D598" t="s">
        <v>43</v>
      </c>
      <c r="E598" t="s">
        <v>27</v>
      </c>
      <c r="F598" t="s">
        <v>17</v>
      </c>
      <c r="G598">
        <v>6</v>
      </c>
      <c r="H598">
        <v>3428</v>
      </c>
      <c r="I598">
        <v>3085.2</v>
      </c>
      <c r="J598" t="s">
        <v>29</v>
      </c>
      <c r="K598" t="s">
        <v>19</v>
      </c>
      <c r="L598" t="s">
        <v>37</v>
      </c>
      <c r="M598" t="s">
        <v>24</v>
      </c>
      <c r="N598">
        <v>17482.8</v>
      </c>
    </row>
    <row r="599" spans="1:14" x14ac:dyDescent="0.3">
      <c r="A599" t="s">
        <v>639</v>
      </c>
      <c r="B599" s="1">
        <v>45257</v>
      </c>
      <c r="C599" t="s">
        <v>46</v>
      </c>
      <c r="D599" t="s">
        <v>15</v>
      </c>
      <c r="E599" t="s">
        <v>27</v>
      </c>
      <c r="F599" t="s">
        <v>17</v>
      </c>
      <c r="G599">
        <v>2</v>
      </c>
      <c r="H599">
        <v>4782</v>
      </c>
      <c r="I599">
        <v>1912.8000000000002</v>
      </c>
      <c r="J599" t="s">
        <v>50</v>
      </c>
      <c r="K599" t="s">
        <v>30</v>
      </c>
      <c r="L599" t="s">
        <v>20</v>
      </c>
      <c r="M599" t="s">
        <v>21</v>
      </c>
      <c r="N599">
        <v>7651.2</v>
      </c>
    </row>
    <row r="600" spans="1:14" x14ac:dyDescent="0.3">
      <c r="A600" t="s">
        <v>640</v>
      </c>
      <c r="B600" s="1">
        <v>45072</v>
      </c>
      <c r="C600" t="s">
        <v>32</v>
      </c>
      <c r="D600" t="s">
        <v>43</v>
      </c>
      <c r="E600" t="s">
        <v>44</v>
      </c>
      <c r="F600" t="s">
        <v>49</v>
      </c>
      <c r="G600">
        <v>3</v>
      </c>
      <c r="H600">
        <v>13347</v>
      </c>
      <c r="I600">
        <v>2002.0500000000002</v>
      </c>
      <c r="J600" t="s">
        <v>50</v>
      </c>
      <c r="K600" t="s">
        <v>41</v>
      </c>
      <c r="L600" t="s">
        <v>20</v>
      </c>
      <c r="M600" t="s">
        <v>24</v>
      </c>
      <c r="N600">
        <v>38038.949999999997</v>
      </c>
    </row>
    <row r="601" spans="1:14" x14ac:dyDescent="0.3">
      <c r="A601" t="s">
        <v>641</v>
      </c>
      <c r="B601" s="1">
        <v>45165</v>
      </c>
      <c r="C601" t="s">
        <v>39</v>
      </c>
      <c r="D601" t="s">
        <v>40</v>
      </c>
      <c r="E601" t="s">
        <v>44</v>
      </c>
      <c r="F601" t="s">
        <v>17</v>
      </c>
      <c r="G601">
        <v>6</v>
      </c>
      <c r="H601">
        <v>11597</v>
      </c>
      <c r="I601">
        <v>13916.400000000001</v>
      </c>
      <c r="J601" t="s">
        <v>36</v>
      </c>
      <c r="K601" t="s">
        <v>41</v>
      </c>
      <c r="L601" t="s">
        <v>23</v>
      </c>
      <c r="M601" t="s">
        <v>24</v>
      </c>
      <c r="N601">
        <v>55665.599999999999</v>
      </c>
    </row>
    <row r="602" spans="1:14" x14ac:dyDescent="0.3">
      <c r="A602" t="s">
        <v>642</v>
      </c>
      <c r="B602" s="1">
        <v>45002</v>
      </c>
      <c r="C602" t="s">
        <v>14</v>
      </c>
      <c r="D602" t="s">
        <v>40</v>
      </c>
      <c r="E602" t="s">
        <v>27</v>
      </c>
      <c r="F602" t="s">
        <v>49</v>
      </c>
      <c r="G602">
        <v>4</v>
      </c>
      <c r="H602">
        <v>38999</v>
      </c>
      <c r="I602">
        <v>0</v>
      </c>
      <c r="J602" t="s">
        <v>36</v>
      </c>
      <c r="K602" t="s">
        <v>19</v>
      </c>
      <c r="L602" t="s">
        <v>20</v>
      </c>
      <c r="M602" t="s">
        <v>24</v>
      </c>
      <c r="N602">
        <v>155996</v>
      </c>
    </row>
    <row r="603" spans="1:14" x14ac:dyDescent="0.3">
      <c r="A603" t="s">
        <v>643</v>
      </c>
      <c r="B603" s="1">
        <v>44935</v>
      </c>
      <c r="C603" t="s">
        <v>26</v>
      </c>
      <c r="D603" t="s">
        <v>40</v>
      </c>
      <c r="E603" t="s">
        <v>27</v>
      </c>
      <c r="F603" t="s">
        <v>49</v>
      </c>
      <c r="G603">
        <v>6</v>
      </c>
      <c r="H603">
        <v>37211</v>
      </c>
      <c r="I603">
        <v>11163.300000000001</v>
      </c>
      <c r="J603" t="s">
        <v>29</v>
      </c>
      <c r="K603" t="s">
        <v>30</v>
      </c>
      <c r="L603" t="s">
        <v>23</v>
      </c>
      <c r="M603" t="s">
        <v>33</v>
      </c>
      <c r="N603">
        <v>212102.69999999899</v>
      </c>
    </row>
    <row r="604" spans="1:14" x14ac:dyDescent="0.3">
      <c r="A604" t="s">
        <v>644</v>
      </c>
      <c r="B604" s="1">
        <v>45000</v>
      </c>
      <c r="C604" t="s">
        <v>26</v>
      </c>
      <c r="D604" t="s">
        <v>43</v>
      </c>
      <c r="E604" t="s">
        <v>44</v>
      </c>
      <c r="F604" t="s">
        <v>17</v>
      </c>
      <c r="G604">
        <v>1</v>
      </c>
      <c r="H604">
        <v>13847</v>
      </c>
      <c r="I604">
        <v>1384.7</v>
      </c>
      <c r="J604" t="s">
        <v>50</v>
      </c>
      <c r="K604" t="s">
        <v>41</v>
      </c>
      <c r="L604" t="s">
        <v>20</v>
      </c>
      <c r="M604" t="s">
        <v>33</v>
      </c>
      <c r="N604">
        <v>12462.3</v>
      </c>
    </row>
    <row r="605" spans="1:14" x14ac:dyDescent="0.3">
      <c r="A605" t="s">
        <v>645</v>
      </c>
      <c r="B605" s="1">
        <v>45179</v>
      </c>
      <c r="C605" t="s">
        <v>26</v>
      </c>
      <c r="D605" t="s">
        <v>15</v>
      </c>
      <c r="E605" t="s">
        <v>16</v>
      </c>
      <c r="F605" t="s">
        <v>35</v>
      </c>
      <c r="G605">
        <v>1</v>
      </c>
      <c r="H605">
        <v>27918</v>
      </c>
      <c r="I605">
        <v>4187.7</v>
      </c>
      <c r="J605" t="s">
        <v>36</v>
      </c>
      <c r="K605" t="s">
        <v>41</v>
      </c>
      <c r="L605" t="s">
        <v>37</v>
      </c>
      <c r="M605" t="s">
        <v>21</v>
      </c>
      <c r="N605">
        <v>23730.3</v>
      </c>
    </row>
    <row r="606" spans="1:14" x14ac:dyDescent="0.3">
      <c r="A606" t="s">
        <v>646</v>
      </c>
      <c r="B606" s="1">
        <v>45156</v>
      </c>
      <c r="C606" t="s">
        <v>32</v>
      </c>
      <c r="D606" t="s">
        <v>15</v>
      </c>
      <c r="E606" t="s">
        <v>27</v>
      </c>
      <c r="F606" t="s">
        <v>17</v>
      </c>
      <c r="G606">
        <v>3</v>
      </c>
      <c r="H606">
        <v>44464</v>
      </c>
      <c r="I606">
        <v>20008.8</v>
      </c>
      <c r="J606" t="s">
        <v>29</v>
      </c>
      <c r="K606" t="s">
        <v>41</v>
      </c>
      <c r="L606" t="s">
        <v>20</v>
      </c>
      <c r="M606" t="s">
        <v>33</v>
      </c>
      <c r="N606">
        <v>113383.2</v>
      </c>
    </row>
    <row r="607" spans="1:14" x14ac:dyDescent="0.3">
      <c r="A607" t="s">
        <v>647</v>
      </c>
      <c r="B607" s="1">
        <v>44933</v>
      </c>
      <c r="C607" t="s">
        <v>46</v>
      </c>
      <c r="D607" t="s">
        <v>15</v>
      </c>
      <c r="E607" t="s">
        <v>16</v>
      </c>
      <c r="F607" t="s">
        <v>17</v>
      </c>
      <c r="G607">
        <v>8</v>
      </c>
      <c r="H607">
        <v>42517</v>
      </c>
      <c r="I607">
        <v>34013.599999999999</v>
      </c>
      <c r="J607" t="s">
        <v>29</v>
      </c>
      <c r="K607" t="s">
        <v>41</v>
      </c>
      <c r="L607" t="s">
        <v>23</v>
      </c>
      <c r="M607" t="s">
        <v>24</v>
      </c>
      <c r="N607">
        <v>306122.40000000002</v>
      </c>
    </row>
    <row r="608" spans="1:14" x14ac:dyDescent="0.3">
      <c r="A608" t="s">
        <v>648</v>
      </c>
      <c r="B608" s="1">
        <v>45100</v>
      </c>
      <c r="C608" t="s">
        <v>39</v>
      </c>
      <c r="D608" t="s">
        <v>43</v>
      </c>
      <c r="E608" t="s">
        <v>27</v>
      </c>
      <c r="F608" t="s">
        <v>17</v>
      </c>
      <c r="G608">
        <v>8</v>
      </c>
      <c r="H608">
        <v>48114</v>
      </c>
      <c r="I608">
        <v>0</v>
      </c>
      <c r="J608" t="s">
        <v>36</v>
      </c>
      <c r="K608" t="s">
        <v>30</v>
      </c>
      <c r="L608" t="s">
        <v>23</v>
      </c>
      <c r="M608" t="s">
        <v>33</v>
      </c>
      <c r="N608">
        <v>384912</v>
      </c>
    </row>
    <row r="609" spans="1:14" x14ac:dyDescent="0.3">
      <c r="A609" t="s">
        <v>649</v>
      </c>
      <c r="B609" s="1">
        <v>45067</v>
      </c>
      <c r="C609" t="s">
        <v>14</v>
      </c>
      <c r="D609" t="s">
        <v>43</v>
      </c>
      <c r="E609" t="s">
        <v>16</v>
      </c>
      <c r="F609" t="s">
        <v>35</v>
      </c>
      <c r="G609">
        <v>4</v>
      </c>
      <c r="H609">
        <v>19297</v>
      </c>
      <c r="I609">
        <v>7718.8</v>
      </c>
      <c r="J609" t="s">
        <v>50</v>
      </c>
      <c r="K609" t="s">
        <v>30</v>
      </c>
      <c r="L609" t="s">
        <v>20</v>
      </c>
      <c r="M609" t="s">
        <v>24</v>
      </c>
      <c r="N609">
        <v>69469.2</v>
      </c>
    </row>
    <row r="610" spans="1:14" x14ac:dyDescent="0.3">
      <c r="A610" t="s">
        <v>650</v>
      </c>
      <c r="B610" s="1">
        <v>45094</v>
      </c>
      <c r="C610" t="s">
        <v>14</v>
      </c>
      <c r="D610" t="s">
        <v>43</v>
      </c>
      <c r="E610" t="s">
        <v>16</v>
      </c>
      <c r="F610" t="s">
        <v>28</v>
      </c>
      <c r="G610">
        <v>6</v>
      </c>
      <c r="H610">
        <v>37153</v>
      </c>
      <c r="I610">
        <v>0</v>
      </c>
      <c r="J610" t="s">
        <v>18</v>
      </c>
      <c r="K610" t="s">
        <v>30</v>
      </c>
      <c r="L610" t="s">
        <v>37</v>
      </c>
      <c r="M610" t="s">
        <v>33</v>
      </c>
      <c r="N610">
        <v>222918</v>
      </c>
    </row>
    <row r="611" spans="1:14" x14ac:dyDescent="0.3">
      <c r="A611" t="s">
        <v>651</v>
      </c>
      <c r="B611" s="1">
        <v>45096</v>
      </c>
      <c r="C611" t="s">
        <v>32</v>
      </c>
      <c r="D611" t="s">
        <v>43</v>
      </c>
      <c r="E611" t="s">
        <v>16</v>
      </c>
      <c r="F611" t="s">
        <v>28</v>
      </c>
      <c r="G611">
        <v>8</v>
      </c>
      <c r="H611">
        <v>45454</v>
      </c>
      <c r="I611">
        <v>18181.600000000002</v>
      </c>
      <c r="J611" t="s">
        <v>18</v>
      </c>
      <c r="K611" t="s">
        <v>30</v>
      </c>
      <c r="L611" t="s">
        <v>23</v>
      </c>
      <c r="M611" t="s">
        <v>33</v>
      </c>
      <c r="N611">
        <v>345450.39999999898</v>
      </c>
    </row>
    <row r="612" spans="1:14" x14ac:dyDescent="0.3">
      <c r="A612" t="s">
        <v>652</v>
      </c>
      <c r="B612" s="1">
        <v>45209</v>
      </c>
      <c r="C612" t="s">
        <v>26</v>
      </c>
      <c r="D612" t="s">
        <v>43</v>
      </c>
      <c r="E612" t="s">
        <v>44</v>
      </c>
      <c r="F612" t="s">
        <v>49</v>
      </c>
      <c r="G612">
        <v>7</v>
      </c>
      <c r="H612">
        <v>40296</v>
      </c>
      <c r="I612">
        <v>28207.200000000001</v>
      </c>
      <c r="J612" t="s">
        <v>29</v>
      </c>
      <c r="K612" t="s">
        <v>41</v>
      </c>
      <c r="L612" t="s">
        <v>23</v>
      </c>
      <c r="M612" t="s">
        <v>33</v>
      </c>
      <c r="N612">
        <v>253864.8</v>
      </c>
    </row>
    <row r="613" spans="1:14" x14ac:dyDescent="0.3">
      <c r="A613" t="s">
        <v>653</v>
      </c>
      <c r="B613" s="1">
        <v>45048</v>
      </c>
      <c r="C613" t="s">
        <v>32</v>
      </c>
      <c r="D613" t="s">
        <v>15</v>
      </c>
      <c r="E613" t="s">
        <v>16</v>
      </c>
      <c r="F613" t="s">
        <v>49</v>
      </c>
      <c r="G613">
        <v>7</v>
      </c>
      <c r="H613">
        <v>49652</v>
      </c>
      <c r="I613">
        <v>0</v>
      </c>
      <c r="J613" t="s">
        <v>18</v>
      </c>
      <c r="K613" t="s">
        <v>19</v>
      </c>
      <c r="L613" t="s">
        <v>23</v>
      </c>
      <c r="M613" t="s">
        <v>24</v>
      </c>
      <c r="N613">
        <v>347564</v>
      </c>
    </row>
    <row r="614" spans="1:14" x14ac:dyDescent="0.3">
      <c r="A614" t="s">
        <v>654</v>
      </c>
      <c r="B614" s="1">
        <v>45120</v>
      </c>
      <c r="C614" t="s">
        <v>46</v>
      </c>
      <c r="D614" t="s">
        <v>43</v>
      </c>
      <c r="E614" t="s">
        <v>16</v>
      </c>
      <c r="F614" t="s">
        <v>35</v>
      </c>
      <c r="G614">
        <v>4</v>
      </c>
      <c r="H614">
        <v>17307</v>
      </c>
      <c r="I614">
        <v>3461.4</v>
      </c>
      <c r="J614" t="s">
        <v>18</v>
      </c>
      <c r="K614" t="s">
        <v>19</v>
      </c>
      <c r="L614" t="s">
        <v>23</v>
      </c>
      <c r="M614" t="s">
        <v>33</v>
      </c>
      <c r="N614">
        <v>65766.599999999904</v>
      </c>
    </row>
    <row r="615" spans="1:14" x14ac:dyDescent="0.3">
      <c r="A615" t="s">
        <v>655</v>
      </c>
      <c r="B615" s="1">
        <v>44931</v>
      </c>
      <c r="C615" t="s">
        <v>46</v>
      </c>
      <c r="D615" t="s">
        <v>43</v>
      </c>
      <c r="E615" t="s">
        <v>16</v>
      </c>
      <c r="F615" t="s">
        <v>47</v>
      </c>
      <c r="G615">
        <v>9</v>
      </c>
      <c r="H615">
        <v>3210</v>
      </c>
      <c r="I615">
        <v>2889</v>
      </c>
      <c r="J615" t="s">
        <v>36</v>
      </c>
      <c r="K615" t="s">
        <v>41</v>
      </c>
      <c r="L615" t="s">
        <v>23</v>
      </c>
      <c r="M615" t="s">
        <v>24</v>
      </c>
      <c r="N615">
        <v>26001</v>
      </c>
    </row>
    <row r="616" spans="1:14" x14ac:dyDescent="0.3">
      <c r="A616" t="s">
        <v>656</v>
      </c>
      <c r="B616" s="1">
        <v>44955</v>
      </c>
      <c r="C616" t="s">
        <v>39</v>
      </c>
      <c r="D616" t="s">
        <v>15</v>
      </c>
      <c r="E616" t="s">
        <v>27</v>
      </c>
      <c r="F616" t="s">
        <v>28</v>
      </c>
      <c r="G616">
        <v>6</v>
      </c>
      <c r="H616">
        <v>5755</v>
      </c>
      <c r="I616">
        <v>5179.5</v>
      </c>
      <c r="J616" t="s">
        <v>29</v>
      </c>
      <c r="K616" t="s">
        <v>41</v>
      </c>
      <c r="L616" t="s">
        <v>37</v>
      </c>
      <c r="M616" t="s">
        <v>24</v>
      </c>
      <c r="N616">
        <v>29350.5</v>
      </c>
    </row>
    <row r="617" spans="1:14" x14ac:dyDescent="0.3">
      <c r="A617" t="s">
        <v>657</v>
      </c>
      <c r="B617" s="1">
        <v>45091</v>
      </c>
      <c r="C617" t="s">
        <v>39</v>
      </c>
      <c r="D617" t="s">
        <v>43</v>
      </c>
      <c r="E617" t="s">
        <v>16</v>
      </c>
      <c r="F617" t="s">
        <v>49</v>
      </c>
      <c r="G617">
        <v>3</v>
      </c>
      <c r="H617">
        <v>267</v>
      </c>
      <c r="I617">
        <v>80.100000000000009</v>
      </c>
      <c r="J617" t="s">
        <v>50</v>
      </c>
      <c r="K617" t="s">
        <v>19</v>
      </c>
      <c r="L617" t="s">
        <v>20</v>
      </c>
      <c r="M617" t="s">
        <v>21</v>
      </c>
      <c r="N617">
        <v>720.9</v>
      </c>
    </row>
    <row r="618" spans="1:14" x14ac:dyDescent="0.3">
      <c r="A618" t="s">
        <v>658</v>
      </c>
      <c r="B618" s="1">
        <v>45265</v>
      </c>
      <c r="C618" t="s">
        <v>46</v>
      </c>
      <c r="D618" t="s">
        <v>15</v>
      </c>
      <c r="E618" t="s">
        <v>27</v>
      </c>
      <c r="F618" t="s">
        <v>28</v>
      </c>
      <c r="G618">
        <v>5</v>
      </c>
      <c r="H618">
        <v>28612</v>
      </c>
      <c r="I618">
        <v>28612</v>
      </c>
      <c r="J618" t="s">
        <v>29</v>
      </c>
      <c r="K618" t="s">
        <v>19</v>
      </c>
      <c r="L618" t="s">
        <v>37</v>
      </c>
      <c r="M618" t="s">
        <v>33</v>
      </c>
      <c r="N618">
        <v>114448</v>
      </c>
    </row>
    <row r="619" spans="1:14" x14ac:dyDescent="0.3">
      <c r="A619" t="s">
        <v>659</v>
      </c>
      <c r="B619" s="1">
        <v>45062</v>
      </c>
      <c r="C619" t="s">
        <v>46</v>
      </c>
      <c r="D619" t="s">
        <v>15</v>
      </c>
      <c r="E619" t="s">
        <v>16</v>
      </c>
      <c r="F619" t="s">
        <v>35</v>
      </c>
      <c r="G619">
        <v>5</v>
      </c>
      <c r="H619">
        <v>45153</v>
      </c>
      <c r="I619">
        <v>22576.5</v>
      </c>
      <c r="J619" t="s">
        <v>36</v>
      </c>
      <c r="K619" t="s">
        <v>41</v>
      </c>
      <c r="L619" t="s">
        <v>37</v>
      </c>
      <c r="M619" t="s">
        <v>21</v>
      </c>
      <c r="N619">
        <v>203188.5</v>
      </c>
    </row>
    <row r="620" spans="1:14" x14ac:dyDescent="0.3">
      <c r="A620" t="s">
        <v>660</v>
      </c>
      <c r="B620" s="1">
        <v>45291</v>
      </c>
      <c r="C620" t="s">
        <v>46</v>
      </c>
      <c r="D620" t="s">
        <v>40</v>
      </c>
      <c r="E620" t="s">
        <v>16</v>
      </c>
      <c r="F620" t="s">
        <v>35</v>
      </c>
      <c r="G620">
        <v>5</v>
      </c>
      <c r="H620">
        <v>34505</v>
      </c>
      <c r="I620">
        <v>34505</v>
      </c>
      <c r="J620" t="s">
        <v>18</v>
      </c>
      <c r="K620" t="s">
        <v>41</v>
      </c>
      <c r="L620" t="s">
        <v>23</v>
      </c>
      <c r="M620" t="s">
        <v>21</v>
      </c>
      <c r="N620">
        <v>138020</v>
      </c>
    </row>
    <row r="621" spans="1:14" x14ac:dyDescent="0.3">
      <c r="A621" t="s">
        <v>661</v>
      </c>
      <c r="B621" s="1">
        <v>45247</v>
      </c>
      <c r="C621" t="s">
        <v>32</v>
      </c>
      <c r="D621" t="s">
        <v>40</v>
      </c>
      <c r="E621" t="s">
        <v>44</v>
      </c>
      <c r="F621" t="s">
        <v>47</v>
      </c>
      <c r="G621">
        <v>8</v>
      </c>
      <c r="H621">
        <v>49749</v>
      </c>
      <c r="I621">
        <v>19899.600000000002</v>
      </c>
      <c r="J621" t="s">
        <v>50</v>
      </c>
      <c r="K621" t="s">
        <v>30</v>
      </c>
      <c r="L621" t="s">
        <v>37</v>
      </c>
      <c r="M621" t="s">
        <v>24</v>
      </c>
      <c r="N621">
        <v>378092.39999999898</v>
      </c>
    </row>
    <row r="622" spans="1:14" x14ac:dyDescent="0.3">
      <c r="A622" t="s">
        <v>662</v>
      </c>
      <c r="B622" s="1">
        <v>45268</v>
      </c>
      <c r="C622" t="s">
        <v>46</v>
      </c>
      <c r="D622" t="s">
        <v>40</v>
      </c>
      <c r="E622" t="s">
        <v>27</v>
      </c>
      <c r="F622" t="s">
        <v>47</v>
      </c>
      <c r="G622">
        <v>9</v>
      </c>
      <c r="H622">
        <v>11749</v>
      </c>
      <c r="I622">
        <v>10574.1</v>
      </c>
      <c r="J622" t="s">
        <v>29</v>
      </c>
      <c r="K622" t="s">
        <v>30</v>
      </c>
      <c r="L622" t="s">
        <v>23</v>
      </c>
      <c r="M622" t="s">
        <v>33</v>
      </c>
      <c r="N622">
        <v>95166.9</v>
      </c>
    </row>
    <row r="623" spans="1:14" x14ac:dyDescent="0.3">
      <c r="A623" t="s">
        <v>663</v>
      </c>
      <c r="B623" s="1">
        <v>45071</v>
      </c>
      <c r="C623" t="s">
        <v>14</v>
      </c>
      <c r="D623" t="s">
        <v>40</v>
      </c>
      <c r="E623" t="s">
        <v>16</v>
      </c>
      <c r="F623" t="s">
        <v>35</v>
      </c>
      <c r="G623">
        <v>9</v>
      </c>
      <c r="H623">
        <v>5880</v>
      </c>
      <c r="I623">
        <v>2646</v>
      </c>
      <c r="J623" t="s">
        <v>18</v>
      </c>
      <c r="K623" t="s">
        <v>19</v>
      </c>
      <c r="L623" t="s">
        <v>37</v>
      </c>
      <c r="M623" t="s">
        <v>24</v>
      </c>
      <c r="N623">
        <v>50274</v>
      </c>
    </row>
    <row r="624" spans="1:14" x14ac:dyDescent="0.3">
      <c r="A624" t="s">
        <v>664</v>
      </c>
      <c r="B624" s="1">
        <v>45253</v>
      </c>
      <c r="C624" t="s">
        <v>26</v>
      </c>
      <c r="D624" t="s">
        <v>43</v>
      </c>
      <c r="E624" t="s">
        <v>27</v>
      </c>
      <c r="F624" t="s">
        <v>49</v>
      </c>
      <c r="G624">
        <v>6</v>
      </c>
      <c r="H624">
        <v>25939</v>
      </c>
      <c r="I624">
        <v>7781.7000000000007</v>
      </c>
      <c r="J624" t="s">
        <v>29</v>
      </c>
      <c r="K624" t="s">
        <v>41</v>
      </c>
      <c r="L624" t="s">
        <v>23</v>
      </c>
      <c r="M624" t="s">
        <v>24</v>
      </c>
      <c r="N624">
        <v>147852.29999999999</v>
      </c>
    </row>
    <row r="625" spans="1:14" x14ac:dyDescent="0.3">
      <c r="A625" t="s">
        <v>665</v>
      </c>
      <c r="B625" s="1">
        <v>45143</v>
      </c>
      <c r="C625" t="s">
        <v>46</v>
      </c>
      <c r="D625" t="s">
        <v>40</v>
      </c>
      <c r="E625" t="s">
        <v>27</v>
      </c>
      <c r="F625" t="s">
        <v>28</v>
      </c>
      <c r="G625">
        <v>6</v>
      </c>
      <c r="H625">
        <v>21409</v>
      </c>
      <c r="I625">
        <v>0</v>
      </c>
      <c r="J625" t="s">
        <v>50</v>
      </c>
      <c r="K625" t="s">
        <v>19</v>
      </c>
      <c r="L625" t="s">
        <v>23</v>
      </c>
      <c r="M625" t="s">
        <v>33</v>
      </c>
      <c r="N625">
        <v>128454</v>
      </c>
    </row>
    <row r="626" spans="1:14" x14ac:dyDescent="0.3">
      <c r="A626" t="s">
        <v>666</v>
      </c>
      <c r="B626" s="1">
        <v>45227</v>
      </c>
      <c r="C626" t="s">
        <v>26</v>
      </c>
      <c r="D626" t="s">
        <v>15</v>
      </c>
      <c r="E626" t="s">
        <v>44</v>
      </c>
      <c r="F626" t="s">
        <v>17</v>
      </c>
      <c r="G626">
        <v>9</v>
      </c>
      <c r="H626">
        <v>41715</v>
      </c>
      <c r="I626">
        <v>18771.75</v>
      </c>
      <c r="J626" t="s">
        <v>29</v>
      </c>
      <c r="K626" t="s">
        <v>30</v>
      </c>
      <c r="L626" t="s">
        <v>37</v>
      </c>
      <c r="M626" t="s">
        <v>24</v>
      </c>
      <c r="N626">
        <v>356663.25</v>
      </c>
    </row>
    <row r="627" spans="1:14" x14ac:dyDescent="0.3">
      <c r="A627" t="s">
        <v>667</v>
      </c>
      <c r="B627" s="1">
        <v>45058</v>
      </c>
      <c r="C627" t="s">
        <v>32</v>
      </c>
      <c r="D627" t="s">
        <v>43</v>
      </c>
      <c r="E627" t="s">
        <v>44</v>
      </c>
      <c r="F627" t="s">
        <v>47</v>
      </c>
      <c r="G627">
        <v>4</v>
      </c>
      <c r="H627">
        <v>22632</v>
      </c>
      <c r="I627">
        <v>4526.4000000000005</v>
      </c>
      <c r="J627" t="s">
        <v>29</v>
      </c>
      <c r="K627" t="s">
        <v>30</v>
      </c>
      <c r="L627" t="s">
        <v>37</v>
      </c>
      <c r="M627" t="s">
        <v>33</v>
      </c>
      <c r="N627">
        <v>86001.599999999904</v>
      </c>
    </row>
    <row r="628" spans="1:14" x14ac:dyDescent="0.3">
      <c r="A628" t="s">
        <v>668</v>
      </c>
      <c r="B628" s="1">
        <v>45218</v>
      </c>
      <c r="C628" t="s">
        <v>26</v>
      </c>
      <c r="D628" t="s">
        <v>40</v>
      </c>
      <c r="E628" t="s">
        <v>44</v>
      </c>
      <c r="F628" t="s">
        <v>17</v>
      </c>
      <c r="G628">
        <v>6</v>
      </c>
      <c r="H628">
        <v>15316</v>
      </c>
      <c r="I628">
        <v>9189.6</v>
      </c>
      <c r="J628" t="s">
        <v>29</v>
      </c>
      <c r="K628" t="s">
        <v>19</v>
      </c>
      <c r="L628" t="s">
        <v>20</v>
      </c>
      <c r="M628" t="s">
        <v>33</v>
      </c>
      <c r="N628">
        <v>82706.399999999994</v>
      </c>
    </row>
    <row r="629" spans="1:14" x14ac:dyDescent="0.3">
      <c r="A629" t="s">
        <v>669</v>
      </c>
      <c r="B629" s="1">
        <v>44996</v>
      </c>
      <c r="C629" t="s">
        <v>32</v>
      </c>
      <c r="D629" t="s">
        <v>15</v>
      </c>
      <c r="E629" t="s">
        <v>44</v>
      </c>
      <c r="F629" t="s">
        <v>49</v>
      </c>
      <c r="G629">
        <v>4</v>
      </c>
      <c r="H629">
        <v>20245</v>
      </c>
      <c r="I629">
        <v>8098</v>
      </c>
      <c r="J629" t="s">
        <v>18</v>
      </c>
      <c r="K629" t="s">
        <v>30</v>
      </c>
      <c r="L629" t="s">
        <v>20</v>
      </c>
      <c r="M629" t="s">
        <v>24</v>
      </c>
      <c r="N629">
        <v>72882</v>
      </c>
    </row>
    <row r="630" spans="1:14" x14ac:dyDescent="0.3">
      <c r="A630" t="s">
        <v>670</v>
      </c>
      <c r="B630" s="1">
        <v>45178</v>
      </c>
      <c r="C630" t="s">
        <v>14</v>
      </c>
      <c r="D630" t="s">
        <v>43</v>
      </c>
      <c r="E630" t="s">
        <v>44</v>
      </c>
      <c r="F630" t="s">
        <v>47</v>
      </c>
      <c r="G630">
        <v>1</v>
      </c>
      <c r="H630">
        <v>26527</v>
      </c>
      <c r="I630">
        <v>3979.0499999999997</v>
      </c>
      <c r="J630" t="s">
        <v>50</v>
      </c>
      <c r="K630" t="s">
        <v>41</v>
      </c>
      <c r="L630" t="s">
        <v>20</v>
      </c>
      <c r="M630" t="s">
        <v>24</v>
      </c>
      <c r="N630">
        <v>22547.95</v>
      </c>
    </row>
    <row r="631" spans="1:14" x14ac:dyDescent="0.3">
      <c r="A631" t="s">
        <v>671</v>
      </c>
      <c r="B631" s="1">
        <v>45201</v>
      </c>
      <c r="C631" t="s">
        <v>32</v>
      </c>
      <c r="D631" t="s">
        <v>43</v>
      </c>
      <c r="E631" t="s">
        <v>44</v>
      </c>
      <c r="F631" t="s">
        <v>17</v>
      </c>
      <c r="G631">
        <v>7</v>
      </c>
      <c r="H631">
        <v>35909</v>
      </c>
      <c r="I631">
        <v>0</v>
      </c>
      <c r="J631" t="s">
        <v>50</v>
      </c>
      <c r="K631" t="s">
        <v>19</v>
      </c>
      <c r="L631" t="s">
        <v>37</v>
      </c>
      <c r="M631" t="s">
        <v>21</v>
      </c>
      <c r="N631">
        <v>251363</v>
      </c>
    </row>
    <row r="632" spans="1:14" x14ac:dyDescent="0.3">
      <c r="A632" t="s">
        <v>672</v>
      </c>
      <c r="B632" s="1">
        <v>45290</v>
      </c>
      <c r="C632" t="s">
        <v>32</v>
      </c>
      <c r="D632" t="s">
        <v>40</v>
      </c>
      <c r="E632" t="s">
        <v>44</v>
      </c>
      <c r="F632" t="s">
        <v>49</v>
      </c>
      <c r="G632">
        <v>6</v>
      </c>
      <c r="H632">
        <v>43817</v>
      </c>
      <c r="I632">
        <v>13145.1</v>
      </c>
      <c r="J632" t="s">
        <v>18</v>
      </c>
      <c r="K632" t="s">
        <v>41</v>
      </c>
      <c r="L632" t="s">
        <v>37</v>
      </c>
      <c r="M632" t="s">
        <v>24</v>
      </c>
      <c r="N632">
        <v>249756.9</v>
      </c>
    </row>
    <row r="633" spans="1:14" x14ac:dyDescent="0.3">
      <c r="A633" t="s">
        <v>673</v>
      </c>
      <c r="B633" s="1">
        <v>45108</v>
      </c>
      <c r="C633" t="s">
        <v>39</v>
      </c>
      <c r="D633" t="s">
        <v>43</v>
      </c>
      <c r="E633" t="s">
        <v>44</v>
      </c>
      <c r="F633" t="s">
        <v>28</v>
      </c>
      <c r="G633">
        <v>9</v>
      </c>
      <c r="H633">
        <v>27105</v>
      </c>
      <c r="I633">
        <v>0</v>
      </c>
      <c r="J633" t="s">
        <v>18</v>
      </c>
      <c r="K633" t="s">
        <v>41</v>
      </c>
      <c r="L633" t="s">
        <v>23</v>
      </c>
      <c r="M633" t="s">
        <v>33</v>
      </c>
      <c r="N633">
        <v>243945</v>
      </c>
    </row>
    <row r="634" spans="1:14" x14ac:dyDescent="0.3">
      <c r="A634" t="s">
        <v>674</v>
      </c>
      <c r="B634" s="1">
        <v>45093</v>
      </c>
      <c r="C634" t="s">
        <v>46</v>
      </c>
      <c r="D634" t="s">
        <v>15</v>
      </c>
      <c r="E634" t="s">
        <v>16</v>
      </c>
      <c r="F634" t="s">
        <v>49</v>
      </c>
      <c r="G634">
        <v>7</v>
      </c>
      <c r="H634">
        <v>7267</v>
      </c>
      <c r="I634">
        <v>10173.800000000001</v>
      </c>
      <c r="J634" t="s">
        <v>18</v>
      </c>
      <c r="K634" t="s">
        <v>30</v>
      </c>
      <c r="L634" t="s">
        <v>20</v>
      </c>
      <c r="M634" t="s">
        <v>21</v>
      </c>
      <c r="N634">
        <v>40695.199999999997</v>
      </c>
    </row>
    <row r="635" spans="1:14" x14ac:dyDescent="0.3">
      <c r="A635" t="s">
        <v>675</v>
      </c>
      <c r="B635" s="1">
        <v>45017</v>
      </c>
      <c r="C635" t="s">
        <v>46</v>
      </c>
      <c r="D635" t="s">
        <v>43</v>
      </c>
      <c r="E635" t="s">
        <v>27</v>
      </c>
      <c r="F635" t="s">
        <v>47</v>
      </c>
      <c r="G635">
        <v>7</v>
      </c>
      <c r="H635">
        <v>32759</v>
      </c>
      <c r="I635">
        <v>11465.650000000001</v>
      </c>
      <c r="J635" t="s">
        <v>36</v>
      </c>
      <c r="K635" t="s">
        <v>41</v>
      </c>
      <c r="L635" t="s">
        <v>23</v>
      </c>
      <c r="M635" t="s">
        <v>33</v>
      </c>
      <c r="N635">
        <v>217847.34999999899</v>
      </c>
    </row>
    <row r="636" spans="1:14" x14ac:dyDescent="0.3">
      <c r="A636" t="s">
        <v>676</v>
      </c>
      <c r="B636" s="1">
        <v>45128</v>
      </c>
      <c r="C636" t="s">
        <v>14</v>
      </c>
      <c r="D636" t="s">
        <v>15</v>
      </c>
      <c r="E636" t="s">
        <v>44</v>
      </c>
      <c r="F636" t="s">
        <v>35</v>
      </c>
      <c r="G636">
        <v>2</v>
      </c>
      <c r="H636">
        <v>43119</v>
      </c>
      <c r="I636">
        <v>0</v>
      </c>
      <c r="J636" t="s">
        <v>29</v>
      </c>
      <c r="K636" t="s">
        <v>19</v>
      </c>
      <c r="L636" t="s">
        <v>23</v>
      </c>
      <c r="M636" t="s">
        <v>21</v>
      </c>
      <c r="N636">
        <v>86238</v>
      </c>
    </row>
    <row r="637" spans="1:14" x14ac:dyDescent="0.3">
      <c r="A637" t="s">
        <v>677</v>
      </c>
      <c r="B637" s="1">
        <v>45272</v>
      </c>
      <c r="C637" t="s">
        <v>14</v>
      </c>
      <c r="D637" t="s">
        <v>43</v>
      </c>
      <c r="E637" t="s">
        <v>44</v>
      </c>
      <c r="F637" t="s">
        <v>28</v>
      </c>
      <c r="G637">
        <v>9</v>
      </c>
      <c r="H637">
        <v>18185</v>
      </c>
      <c r="I637">
        <v>24549.75</v>
      </c>
      <c r="J637" t="s">
        <v>29</v>
      </c>
      <c r="K637" t="s">
        <v>41</v>
      </c>
      <c r="L637" t="s">
        <v>23</v>
      </c>
      <c r="M637" t="s">
        <v>24</v>
      </c>
      <c r="N637">
        <v>139115.25</v>
      </c>
    </row>
    <row r="638" spans="1:14" x14ac:dyDescent="0.3">
      <c r="A638" t="s">
        <v>678</v>
      </c>
      <c r="B638" s="1">
        <v>44945</v>
      </c>
      <c r="C638" t="s">
        <v>46</v>
      </c>
      <c r="D638" t="s">
        <v>40</v>
      </c>
      <c r="E638" t="s">
        <v>27</v>
      </c>
      <c r="F638" t="s">
        <v>17</v>
      </c>
      <c r="G638">
        <v>9</v>
      </c>
      <c r="H638">
        <v>27569</v>
      </c>
      <c r="I638">
        <v>37218.15</v>
      </c>
      <c r="J638" t="s">
        <v>50</v>
      </c>
      <c r="K638" t="s">
        <v>41</v>
      </c>
      <c r="L638" t="s">
        <v>23</v>
      </c>
      <c r="M638" t="s">
        <v>24</v>
      </c>
      <c r="N638">
        <v>210902.85</v>
      </c>
    </row>
    <row r="639" spans="1:14" x14ac:dyDescent="0.3">
      <c r="A639" t="s">
        <v>679</v>
      </c>
      <c r="B639" s="1">
        <v>44965</v>
      </c>
      <c r="C639" t="s">
        <v>39</v>
      </c>
      <c r="D639" t="s">
        <v>15</v>
      </c>
      <c r="E639" t="s">
        <v>16</v>
      </c>
      <c r="F639" t="s">
        <v>47</v>
      </c>
      <c r="G639">
        <v>6</v>
      </c>
      <c r="H639">
        <v>18064</v>
      </c>
      <c r="I639">
        <v>5419.2000000000007</v>
      </c>
      <c r="J639" t="s">
        <v>29</v>
      </c>
      <c r="K639" t="s">
        <v>41</v>
      </c>
      <c r="L639" t="s">
        <v>20</v>
      </c>
      <c r="M639" t="s">
        <v>24</v>
      </c>
      <c r="N639">
        <v>102964.799999999</v>
      </c>
    </row>
    <row r="640" spans="1:14" x14ac:dyDescent="0.3">
      <c r="A640" t="s">
        <v>680</v>
      </c>
      <c r="B640" s="1">
        <v>45052</v>
      </c>
      <c r="C640" t="s">
        <v>46</v>
      </c>
      <c r="D640" t="s">
        <v>43</v>
      </c>
      <c r="E640" t="s">
        <v>27</v>
      </c>
      <c r="F640" t="s">
        <v>35</v>
      </c>
      <c r="G640">
        <v>3</v>
      </c>
      <c r="H640">
        <v>22814</v>
      </c>
      <c r="I640">
        <v>13688.400000000001</v>
      </c>
      <c r="J640" t="s">
        <v>36</v>
      </c>
      <c r="K640" t="s">
        <v>41</v>
      </c>
      <c r="L640" t="s">
        <v>23</v>
      </c>
      <c r="M640" t="s">
        <v>33</v>
      </c>
      <c r="N640">
        <v>54753.599999999999</v>
      </c>
    </row>
    <row r="641" spans="1:14" x14ac:dyDescent="0.3">
      <c r="A641" t="s">
        <v>681</v>
      </c>
      <c r="B641" s="1">
        <v>45099</v>
      </c>
      <c r="C641" t="s">
        <v>39</v>
      </c>
      <c r="D641" t="s">
        <v>43</v>
      </c>
      <c r="E641" t="s">
        <v>27</v>
      </c>
      <c r="F641" t="s">
        <v>49</v>
      </c>
      <c r="G641">
        <v>1</v>
      </c>
      <c r="H641">
        <v>48094</v>
      </c>
      <c r="I641">
        <v>7214.0999999999995</v>
      </c>
      <c r="J641" t="s">
        <v>18</v>
      </c>
      <c r="K641" t="s">
        <v>41</v>
      </c>
      <c r="L641" t="s">
        <v>37</v>
      </c>
      <c r="M641" t="s">
        <v>21</v>
      </c>
      <c r="N641">
        <v>40879.9</v>
      </c>
    </row>
    <row r="642" spans="1:14" x14ac:dyDescent="0.3">
      <c r="A642" t="s">
        <v>682</v>
      </c>
      <c r="B642" s="1">
        <v>45067</v>
      </c>
      <c r="C642" t="s">
        <v>14</v>
      </c>
      <c r="D642" t="s">
        <v>43</v>
      </c>
      <c r="E642" t="s">
        <v>44</v>
      </c>
      <c r="F642" t="s">
        <v>35</v>
      </c>
      <c r="G642">
        <v>4</v>
      </c>
      <c r="H642">
        <v>15813</v>
      </c>
      <c r="I642">
        <v>9487.7999999999993</v>
      </c>
      <c r="J642" t="s">
        <v>50</v>
      </c>
      <c r="K642" t="s">
        <v>30</v>
      </c>
      <c r="L642" t="s">
        <v>37</v>
      </c>
      <c r="M642" t="s">
        <v>33</v>
      </c>
      <c r="N642">
        <v>53764.2</v>
      </c>
    </row>
    <row r="643" spans="1:14" x14ac:dyDescent="0.3">
      <c r="A643" t="s">
        <v>683</v>
      </c>
      <c r="B643" s="1">
        <v>45168</v>
      </c>
      <c r="C643" t="s">
        <v>26</v>
      </c>
      <c r="D643" t="s">
        <v>15</v>
      </c>
      <c r="E643" t="s">
        <v>27</v>
      </c>
      <c r="F643" t="s">
        <v>47</v>
      </c>
      <c r="G643">
        <v>3</v>
      </c>
      <c r="H643">
        <v>6647</v>
      </c>
      <c r="I643">
        <v>3988.2000000000003</v>
      </c>
      <c r="J643" t="s">
        <v>50</v>
      </c>
      <c r="K643" t="s">
        <v>19</v>
      </c>
      <c r="L643" t="s">
        <v>37</v>
      </c>
      <c r="M643" t="s">
        <v>21</v>
      </c>
      <c r="N643">
        <v>15952.8</v>
      </c>
    </row>
    <row r="644" spans="1:14" x14ac:dyDescent="0.3">
      <c r="A644" t="s">
        <v>684</v>
      </c>
      <c r="B644" s="1">
        <v>45146</v>
      </c>
      <c r="C644" t="s">
        <v>14</v>
      </c>
      <c r="D644" t="s">
        <v>15</v>
      </c>
      <c r="E644" t="s">
        <v>27</v>
      </c>
      <c r="F644" t="s">
        <v>47</v>
      </c>
      <c r="G644">
        <v>1</v>
      </c>
      <c r="H644">
        <v>5699</v>
      </c>
      <c r="I644">
        <v>0</v>
      </c>
      <c r="J644" t="s">
        <v>29</v>
      </c>
      <c r="K644" t="s">
        <v>30</v>
      </c>
      <c r="L644" t="s">
        <v>20</v>
      </c>
      <c r="M644" t="s">
        <v>24</v>
      </c>
      <c r="N644">
        <v>5699</v>
      </c>
    </row>
    <row r="645" spans="1:14" x14ac:dyDescent="0.3">
      <c r="A645" t="s">
        <v>685</v>
      </c>
      <c r="B645" s="1">
        <v>45052</v>
      </c>
      <c r="C645" t="s">
        <v>14</v>
      </c>
      <c r="D645" t="s">
        <v>15</v>
      </c>
      <c r="E645" t="s">
        <v>44</v>
      </c>
      <c r="F645" t="s">
        <v>35</v>
      </c>
      <c r="G645">
        <v>3</v>
      </c>
      <c r="H645">
        <v>39241</v>
      </c>
      <c r="I645">
        <v>17658.45</v>
      </c>
      <c r="J645" t="s">
        <v>50</v>
      </c>
      <c r="K645" t="s">
        <v>19</v>
      </c>
      <c r="L645" t="s">
        <v>23</v>
      </c>
      <c r="M645" t="s">
        <v>33</v>
      </c>
      <c r="N645">
        <v>100064.55</v>
      </c>
    </row>
    <row r="646" spans="1:14" x14ac:dyDescent="0.3">
      <c r="A646" t="s">
        <v>686</v>
      </c>
      <c r="B646" s="1">
        <v>44984</v>
      </c>
      <c r="C646" t="s">
        <v>32</v>
      </c>
      <c r="D646" t="s">
        <v>40</v>
      </c>
      <c r="E646" t="s">
        <v>44</v>
      </c>
      <c r="F646" t="s">
        <v>49</v>
      </c>
      <c r="G646">
        <v>4</v>
      </c>
      <c r="H646">
        <v>31515</v>
      </c>
      <c r="I646">
        <v>12606</v>
      </c>
      <c r="J646" t="s">
        <v>18</v>
      </c>
      <c r="K646" t="s">
        <v>19</v>
      </c>
      <c r="L646" t="s">
        <v>20</v>
      </c>
      <c r="M646" t="s">
        <v>24</v>
      </c>
      <c r="N646">
        <v>113454</v>
      </c>
    </row>
    <row r="647" spans="1:14" x14ac:dyDescent="0.3">
      <c r="A647" t="s">
        <v>687</v>
      </c>
      <c r="B647" s="1">
        <v>45074</v>
      </c>
      <c r="C647" t="s">
        <v>32</v>
      </c>
      <c r="D647" t="s">
        <v>40</v>
      </c>
      <c r="E647" t="s">
        <v>44</v>
      </c>
      <c r="F647" t="s">
        <v>35</v>
      </c>
      <c r="G647">
        <v>8</v>
      </c>
      <c r="H647">
        <v>1499</v>
      </c>
      <c r="I647">
        <v>1798.8</v>
      </c>
      <c r="J647" t="s">
        <v>50</v>
      </c>
      <c r="K647" t="s">
        <v>19</v>
      </c>
      <c r="L647" t="s">
        <v>23</v>
      </c>
      <c r="M647" t="s">
        <v>33</v>
      </c>
      <c r="N647">
        <v>10193.199999999901</v>
      </c>
    </row>
    <row r="648" spans="1:14" x14ac:dyDescent="0.3">
      <c r="A648" t="s">
        <v>688</v>
      </c>
      <c r="B648" s="1">
        <v>45243</v>
      </c>
      <c r="C648" t="s">
        <v>32</v>
      </c>
      <c r="D648" t="s">
        <v>15</v>
      </c>
      <c r="E648" t="s">
        <v>44</v>
      </c>
      <c r="F648" t="s">
        <v>47</v>
      </c>
      <c r="G648">
        <v>9</v>
      </c>
      <c r="H648">
        <v>39669</v>
      </c>
      <c r="I648">
        <v>0</v>
      </c>
      <c r="J648" t="s">
        <v>18</v>
      </c>
      <c r="K648" t="s">
        <v>19</v>
      </c>
      <c r="L648" t="s">
        <v>20</v>
      </c>
      <c r="M648" t="s">
        <v>24</v>
      </c>
      <c r="N648">
        <v>357021</v>
      </c>
    </row>
    <row r="649" spans="1:14" x14ac:dyDescent="0.3">
      <c r="A649" t="s">
        <v>689</v>
      </c>
      <c r="B649" s="1">
        <v>45287</v>
      </c>
      <c r="C649" t="s">
        <v>32</v>
      </c>
      <c r="D649" t="s">
        <v>43</v>
      </c>
      <c r="E649" t="s">
        <v>27</v>
      </c>
      <c r="F649" t="s">
        <v>47</v>
      </c>
      <c r="G649">
        <v>3</v>
      </c>
      <c r="H649">
        <v>5194</v>
      </c>
      <c r="I649">
        <v>0</v>
      </c>
      <c r="J649" t="s">
        <v>36</v>
      </c>
      <c r="K649" t="s">
        <v>19</v>
      </c>
      <c r="L649" t="s">
        <v>20</v>
      </c>
      <c r="M649" t="s">
        <v>33</v>
      </c>
      <c r="N649">
        <v>15582</v>
      </c>
    </row>
    <row r="650" spans="1:14" x14ac:dyDescent="0.3">
      <c r="A650" t="s">
        <v>690</v>
      </c>
      <c r="B650" s="1">
        <v>44927</v>
      </c>
      <c r="C650" t="s">
        <v>39</v>
      </c>
      <c r="D650" t="s">
        <v>40</v>
      </c>
      <c r="E650" t="s">
        <v>27</v>
      </c>
      <c r="F650" t="s">
        <v>17</v>
      </c>
      <c r="G650">
        <v>6</v>
      </c>
      <c r="H650">
        <v>30078</v>
      </c>
      <c r="I650">
        <v>9023.4</v>
      </c>
      <c r="J650" t="s">
        <v>36</v>
      </c>
      <c r="K650" t="s">
        <v>41</v>
      </c>
      <c r="L650" t="s">
        <v>23</v>
      </c>
      <c r="M650" t="s">
        <v>33</v>
      </c>
      <c r="N650">
        <v>171444.6</v>
      </c>
    </row>
    <row r="651" spans="1:14" x14ac:dyDescent="0.3">
      <c r="A651" t="s">
        <v>691</v>
      </c>
      <c r="B651" s="1">
        <v>45274</v>
      </c>
      <c r="C651" t="s">
        <v>46</v>
      </c>
      <c r="D651" t="s">
        <v>15</v>
      </c>
      <c r="E651" t="s">
        <v>16</v>
      </c>
      <c r="F651" t="s">
        <v>17</v>
      </c>
      <c r="G651">
        <v>5</v>
      </c>
      <c r="H651">
        <v>15827</v>
      </c>
      <c r="I651">
        <v>7913.5</v>
      </c>
      <c r="J651" t="s">
        <v>18</v>
      </c>
      <c r="K651" t="s">
        <v>30</v>
      </c>
      <c r="L651" t="s">
        <v>20</v>
      </c>
      <c r="M651" t="s">
        <v>21</v>
      </c>
      <c r="N651">
        <v>71221.5</v>
      </c>
    </row>
    <row r="652" spans="1:14" x14ac:dyDescent="0.3">
      <c r="A652" t="s">
        <v>692</v>
      </c>
      <c r="B652" s="1">
        <v>45116</v>
      </c>
      <c r="C652" t="s">
        <v>26</v>
      </c>
      <c r="D652" t="s">
        <v>43</v>
      </c>
      <c r="E652" t="s">
        <v>16</v>
      </c>
      <c r="F652" t="s">
        <v>28</v>
      </c>
      <c r="G652">
        <v>6</v>
      </c>
      <c r="H652">
        <v>7689</v>
      </c>
      <c r="I652">
        <v>0</v>
      </c>
      <c r="J652" t="s">
        <v>29</v>
      </c>
      <c r="K652" t="s">
        <v>30</v>
      </c>
      <c r="L652" t="s">
        <v>23</v>
      </c>
      <c r="M652" t="s">
        <v>24</v>
      </c>
      <c r="N652">
        <v>46134</v>
      </c>
    </row>
    <row r="653" spans="1:14" x14ac:dyDescent="0.3">
      <c r="A653" t="s">
        <v>693</v>
      </c>
      <c r="B653" s="1">
        <v>45117</v>
      </c>
      <c r="C653" t="s">
        <v>14</v>
      </c>
      <c r="D653" t="s">
        <v>40</v>
      </c>
      <c r="E653" t="s">
        <v>27</v>
      </c>
      <c r="F653" t="s">
        <v>47</v>
      </c>
      <c r="G653">
        <v>4</v>
      </c>
      <c r="H653">
        <v>26311</v>
      </c>
      <c r="I653">
        <v>21048.800000000003</v>
      </c>
      <c r="J653" t="s">
        <v>50</v>
      </c>
      <c r="K653" t="s">
        <v>41</v>
      </c>
      <c r="L653" t="s">
        <v>37</v>
      </c>
      <c r="M653" t="s">
        <v>21</v>
      </c>
      <c r="N653">
        <v>84195.199999999997</v>
      </c>
    </row>
    <row r="654" spans="1:14" x14ac:dyDescent="0.3">
      <c r="A654" t="s">
        <v>694</v>
      </c>
      <c r="B654" s="1">
        <v>45238</v>
      </c>
      <c r="C654" t="s">
        <v>39</v>
      </c>
      <c r="D654" t="s">
        <v>43</v>
      </c>
      <c r="E654" t="s">
        <v>16</v>
      </c>
      <c r="F654" t="s">
        <v>17</v>
      </c>
      <c r="G654">
        <v>6</v>
      </c>
      <c r="H654">
        <v>32555</v>
      </c>
      <c r="I654">
        <v>19533</v>
      </c>
      <c r="J654" t="s">
        <v>29</v>
      </c>
      <c r="K654" t="s">
        <v>19</v>
      </c>
      <c r="L654" t="s">
        <v>37</v>
      </c>
      <c r="M654" t="s">
        <v>21</v>
      </c>
      <c r="N654">
        <v>175797</v>
      </c>
    </row>
    <row r="655" spans="1:14" x14ac:dyDescent="0.3">
      <c r="A655" t="s">
        <v>695</v>
      </c>
      <c r="B655" s="1">
        <v>45043</v>
      </c>
      <c r="C655" t="s">
        <v>26</v>
      </c>
      <c r="D655" t="s">
        <v>43</v>
      </c>
      <c r="E655" t="s">
        <v>27</v>
      </c>
      <c r="F655" t="s">
        <v>35</v>
      </c>
      <c r="G655">
        <v>7</v>
      </c>
      <c r="H655">
        <v>8469</v>
      </c>
      <c r="I655">
        <v>5928.3</v>
      </c>
      <c r="J655" t="s">
        <v>50</v>
      </c>
      <c r="K655" t="s">
        <v>30</v>
      </c>
      <c r="L655" t="s">
        <v>37</v>
      </c>
      <c r="M655" t="s">
        <v>24</v>
      </c>
      <c r="N655">
        <v>53354.7</v>
      </c>
    </row>
    <row r="656" spans="1:14" x14ac:dyDescent="0.3">
      <c r="A656" t="s">
        <v>696</v>
      </c>
      <c r="B656" s="1">
        <v>45060</v>
      </c>
      <c r="C656" t="s">
        <v>39</v>
      </c>
      <c r="D656" t="s">
        <v>43</v>
      </c>
      <c r="E656" t="s">
        <v>16</v>
      </c>
      <c r="F656" t="s">
        <v>49</v>
      </c>
      <c r="G656">
        <v>9</v>
      </c>
      <c r="H656">
        <v>3031</v>
      </c>
      <c r="I656">
        <v>5455.8</v>
      </c>
      <c r="J656" t="s">
        <v>36</v>
      </c>
      <c r="K656" t="s">
        <v>41</v>
      </c>
      <c r="L656" t="s">
        <v>20</v>
      </c>
      <c r="M656" t="s">
        <v>33</v>
      </c>
      <c r="N656">
        <v>21823.200000000001</v>
      </c>
    </row>
    <row r="657" spans="1:14" x14ac:dyDescent="0.3">
      <c r="A657" t="s">
        <v>697</v>
      </c>
      <c r="B657" s="1">
        <v>44984</v>
      </c>
      <c r="C657" t="s">
        <v>39</v>
      </c>
      <c r="D657" t="s">
        <v>43</v>
      </c>
      <c r="E657" t="s">
        <v>44</v>
      </c>
      <c r="F657" t="s">
        <v>35</v>
      </c>
      <c r="G657">
        <v>7</v>
      </c>
      <c r="H657">
        <v>44570</v>
      </c>
      <c r="I657">
        <v>46798.5</v>
      </c>
      <c r="J657" t="s">
        <v>36</v>
      </c>
      <c r="K657" t="s">
        <v>41</v>
      </c>
      <c r="L657" t="s">
        <v>37</v>
      </c>
      <c r="M657" t="s">
        <v>21</v>
      </c>
      <c r="N657">
        <v>265191.5</v>
      </c>
    </row>
    <row r="658" spans="1:14" x14ac:dyDescent="0.3">
      <c r="A658" t="s">
        <v>698</v>
      </c>
      <c r="B658" s="1">
        <v>44970</v>
      </c>
      <c r="C658" t="s">
        <v>14</v>
      </c>
      <c r="D658" t="s">
        <v>40</v>
      </c>
      <c r="E658" t="s">
        <v>16</v>
      </c>
      <c r="F658" t="s">
        <v>49</v>
      </c>
      <c r="G658">
        <v>6</v>
      </c>
      <c r="H658">
        <v>12019</v>
      </c>
      <c r="I658">
        <v>14422.800000000001</v>
      </c>
      <c r="J658" t="s">
        <v>36</v>
      </c>
      <c r="K658" t="s">
        <v>30</v>
      </c>
      <c r="L658" t="s">
        <v>23</v>
      </c>
      <c r="M658" t="s">
        <v>24</v>
      </c>
      <c r="N658">
        <v>57691.199999999997</v>
      </c>
    </row>
    <row r="659" spans="1:14" x14ac:dyDescent="0.3">
      <c r="A659" t="s">
        <v>699</v>
      </c>
      <c r="B659" s="1">
        <v>45099</v>
      </c>
      <c r="C659" t="s">
        <v>46</v>
      </c>
      <c r="D659" t="s">
        <v>40</v>
      </c>
      <c r="E659" t="s">
        <v>44</v>
      </c>
      <c r="F659" t="s">
        <v>17</v>
      </c>
      <c r="G659">
        <v>1</v>
      </c>
      <c r="H659">
        <v>25013</v>
      </c>
      <c r="I659">
        <v>5002.6000000000004</v>
      </c>
      <c r="J659" t="s">
        <v>50</v>
      </c>
      <c r="K659" t="s">
        <v>30</v>
      </c>
      <c r="L659" t="s">
        <v>37</v>
      </c>
      <c r="M659" t="s">
        <v>33</v>
      </c>
      <c r="N659">
        <v>20010.400000000001</v>
      </c>
    </row>
    <row r="660" spans="1:14" x14ac:dyDescent="0.3">
      <c r="A660" t="s">
        <v>700</v>
      </c>
      <c r="B660" s="1">
        <v>45086</v>
      </c>
      <c r="C660" t="s">
        <v>32</v>
      </c>
      <c r="D660" t="s">
        <v>40</v>
      </c>
      <c r="E660" t="s">
        <v>44</v>
      </c>
      <c r="F660" t="s">
        <v>28</v>
      </c>
      <c r="G660">
        <v>2</v>
      </c>
      <c r="H660">
        <v>21837</v>
      </c>
      <c r="I660">
        <v>6551.0999999999995</v>
      </c>
      <c r="J660" t="s">
        <v>36</v>
      </c>
      <c r="K660" t="s">
        <v>19</v>
      </c>
      <c r="L660" t="s">
        <v>37</v>
      </c>
      <c r="M660" t="s">
        <v>21</v>
      </c>
      <c r="N660">
        <v>37122.9</v>
      </c>
    </row>
    <row r="661" spans="1:14" x14ac:dyDescent="0.3">
      <c r="A661" t="s">
        <v>701</v>
      </c>
      <c r="B661" s="1">
        <v>45099</v>
      </c>
      <c r="C661" t="s">
        <v>46</v>
      </c>
      <c r="D661" t="s">
        <v>15</v>
      </c>
      <c r="E661" t="s">
        <v>44</v>
      </c>
      <c r="F661" t="s">
        <v>35</v>
      </c>
      <c r="G661">
        <v>1</v>
      </c>
      <c r="H661">
        <v>2196</v>
      </c>
      <c r="I661">
        <v>329.4</v>
      </c>
      <c r="J661" t="s">
        <v>36</v>
      </c>
      <c r="K661" t="s">
        <v>19</v>
      </c>
      <c r="L661" t="s">
        <v>20</v>
      </c>
      <c r="M661" t="s">
        <v>21</v>
      </c>
      <c r="N661">
        <v>1866.6</v>
      </c>
    </row>
    <row r="662" spans="1:14" x14ac:dyDescent="0.3">
      <c r="A662" t="s">
        <v>702</v>
      </c>
      <c r="B662" s="1">
        <v>45243</v>
      </c>
      <c r="C662" t="s">
        <v>14</v>
      </c>
      <c r="D662" t="s">
        <v>40</v>
      </c>
      <c r="E662" t="s">
        <v>44</v>
      </c>
      <c r="F662" t="s">
        <v>35</v>
      </c>
      <c r="G662">
        <v>9</v>
      </c>
      <c r="H662">
        <v>44587</v>
      </c>
      <c r="I662">
        <v>60192.45</v>
      </c>
      <c r="J662" t="s">
        <v>36</v>
      </c>
      <c r="K662" t="s">
        <v>30</v>
      </c>
      <c r="L662" t="s">
        <v>23</v>
      </c>
      <c r="M662" t="s">
        <v>21</v>
      </c>
      <c r="N662">
        <v>341090.55</v>
      </c>
    </row>
    <row r="663" spans="1:14" x14ac:dyDescent="0.3">
      <c r="A663" t="s">
        <v>703</v>
      </c>
      <c r="B663" s="1">
        <v>45229</v>
      </c>
      <c r="C663" t="s">
        <v>14</v>
      </c>
      <c r="D663" t="s">
        <v>43</v>
      </c>
      <c r="E663" t="s">
        <v>16</v>
      </c>
      <c r="F663" t="s">
        <v>35</v>
      </c>
      <c r="G663">
        <v>9</v>
      </c>
      <c r="H663">
        <v>49629</v>
      </c>
      <c r="I663">
        <v>66999.149999999994</v>
      </c>
      <c r="J663" t="s">
        <v>36</v>
      </c>
      <c r="K663" t="s">
        <v>19</v>
      </c>
      <c r="L663" t="s">
        <v>20</v>
      </c>
      <c r="M663" t="s">
        <v>33</v>
      </c>
      <c r="N663">
        <v>379661.85</v>
      </c>
    </row>
    <row r="664" spans="1:14" x14ac:dyDescent="0.3">
      <c r="A664" t="s">
        <v>704</v>
      </c>
      <c r="B664" s="1">
        <v>45075</v>
      </c>
      <c r="C664" t="s">
        <v>14</v>
      </c>
      <c r="D664" t="s">
        <v>40</v>
      </c>
      <c r="E664" t="s">
        <v>27</v>
      </c>
      <c r="F664" t="s">
        <v>49</v>
      </c>
      <c r="G664">
        <v>7</v>
      </c>
      <c r="H664">
        <v>3289</v>
      </c>
      <c r="I664">
        <v>3453.45</v>
      </c>
      <c r="J664" t="s">
        <v>29</v>
      </c>
      <c r="K664" t="s">
        <v>41</v>
      </c>
      <c r="L664" t="s">
        <v>20</v>
      </c>
      <c r="M664" t="s">
        <v>21</v>
      </c>
      <c r="N664">
        <v>19569.55</v>
      </c>
    </row>
    <row r="665" spans="1:14" x14ac:dyDescent="0.3">
      <c r="A665" t="s">
        <v>705</v>
      </c>
      <c r="B665" s="1">
        <v>45006</v>
      </c>
      <c r="C665" t="s">
        <v>26</v>
      </c>
      <c r="D665" t="s">
        <v>43</v>
      </c>
      <c r="E665" t="s">
        <v>44</v>
      </c>
      <c r="F665" t="s">
        <v>17</v>
      </c>
      <c r="G665">
        <v>2</v>
      </c>
      <c r="H665">
        <v>33491</v>
      </c>
      <c r="I665">
        <v>13396.400000000001</v>
      </c>
      <c r="J665" t="s">
        <v>36</v>
      </c>
      <c r="K665" t="s">
        <v>19</v>
      </c>
      <c r="L665" t="s">
        <v>23</v>
      </c>
      <c r="M665" t="s">
        <v>33</v>
      </c>
      <c r="N665">
        <v>53585.599999999999</v>
      </c>
    </row>
    <row r="666" spans="1:14" x14ac:dyDescent="0.3">
      <c r="A666" t="s">
        <v>706</v>
      </c>
      <c r="B666" s="1">
        <v>45139</v>
      </c>
      <c r="C666" t="s">
        <v>46</v>
      </c>
      <c r="D666" t="s">
        <v>15</v>
      </c>
      <c r="E666" t="s">
        <v>16</v>
      </c>
      <c r="F666" t="s">
        <v>35</v>
      </c>
      <c r="G666">
        <v>6</v>
      </c>
      <c r="H666">
        <v>20859</v>
      </c>
      <c r="I666">
        <v>6257.7000000000007</v>
      </c>
      <c r="J666" t="s">
        <v>36</v>
      </c>
      <c r="K666" t="s">
        <v>19</v>
      </c>
      <c r="L666" t="s">
        <v>20</v>
      </c>
      <c r="M666" t="s">
        <v>21</v>
      </c>
      <c r="N666">
        <v>118896.299999999</v>
      </c>
    </row>
    <row r="667" spans="1:14" x14ac:dyDescent="0.3">
      <c r="A667" t="s">
        <v>707</v>
      </c>
      <c r="B667" s="1">
        <v>45129</v>
      </c>
      <c r="C667" t="s">
        <v>46</v>
      </c>
      <c r="D667" t="s">
        <v>43</v>
      </c>
      <c r="E667" t="s">
        <v>44</v>
      </c>
      <c r="F667" t="s">
        <v>35</v>
      </c>
      <c r="G667">
        <v>4</v>
      </c>
      <c r="H667">
        <v>45378</v>
      </c>
      <c r="I667">
        <v>9075.6</v>
      </c>
      <c r="J667" t="s">
        <v>29</v>
      </c>
      <c r="K667" t="s">
        <v>41</v>
      </c>
      <c r="L667" t="s">
        <v>23</v>
      </c>
      <c r="M667" t="s">
        <v>24</v>
      </c>
      <c r="N667">
        <v>172436.4</v>
      </c>
    </row>
    <row r="668" spans="1:14" x14ac:dyDescent="0.3">
      <c r="A668" t="s">
        <v>708</v>
      </c>
      <c r="B668" s="1">
        <v>45178</v>
      </c>
      <c r="C668" t="s">
        <v>39</v>
      </c>
      <c r="D668" t="s">
        <v>43</v>
      </c>
      <c r="E668" t="s">
        <v>16</v>
      </c>
      <c r="F668" t="s">
        <v>28</v>
      </c>
      <c r="G668">
        <v>1</v>
      </c>
      <c r="H668">
        <v>30629</v>
      </c>
      <c r="I668">
        <v>0</v>
      </c>
      <c r="J668" t="s">
        <v>29</v>
      </c>
      <c r="K668" t="s">
        <v>19</v>
      </c>
      <c r="L668" t="s">
        <v>37</v>
      </c>
      <c r="M668" t="s">
        <v>21</v>
      </c>
      <c r="N668">
        <v>30629</v>
      </c>
    </row>
    <row r="669" spans="1:14" x14ac:dyDescent="0.3">
      <c r="A669" t="s">
        <v>709</v>
      </c>
      <c r="B669" s="1">
        <v>45155</v>
      </c>
      <c r="C669" t="s">
        <v>39</v>
      </c>
      <c r="D669" t="s">
        <v>43</v>
      </c>
      <c r="E669" t="s">
        <v>16</v>
      </c>
      <c r="F669" t="s">
        <v>28</v>
      </c>
      <c r="G669">
        <v>1</v>
      </c>
      <c r="H669">
        <v>15932</v>
      </c>
      <c r="I669">
        <v>796.6</v>
      </c>
      <c r="J669" t="s">
        <v>50</v>
      </c>
      <c r="K669" t="s">
        <v>41</v>
      </c>
      <c r="L669" t="s">
        <v>23</v>
      </c>
      <c r="M669" t="s">
        <v>24</v>
      </c>
      <c r="N669">
        <v>15135.4</v>
      </c>
    </row>
    <row r="670" spans="1:14" x14ac:dyDescent="0.3">
      <c r="A670" t="s">
        <v>710</v>
      </c>
      <c r="B670" s="1">
        <v>45090</v>
      </c>
      <c r="C670" t="s">
        <v>39</v>
      </c>
      <c r="D670" t="s">
        <v>15</v>
      </c>
      <c r="E670" t="s">
        <v>16</v>
      </c>
      <c r="F670" t="s">
        <v>17</v>
      </c>
      <c r="G670">
        <v>5</v>
      </c>
      <c r="H670">
        <v>19706</v>
      </c>
      <c r="I670">
        <v>4926.5</v>
      </c>
      <c r="J670" t="s">
        <v>18</v>
      </c>
      <c r="K670" t="s">
        <v>19</v>
      </c>
      <c r="L670" t="s">
        <v>23</v>
      </c>
      <c r="M670" t="s">
        <v>24</v>
      </c>
      <c r="N670">
        <v>93603.5</v>
      </c>
    </row>
    <row r="671" spans="1:14" x14ac:dyDescent="0.3">
      <c r="A671" t="s">
        <v>711</v>
      </c>
      <c r="B671" s="1">
        <v>45153</v>
      </c>
      <c r="C671" t="s">
        <v>14</v>
      </c>
      <c r="D671" t="s">
        <v>40</v>
      </c>
      <c r="E671" t="s">
        <v>27</v>
      </c>
      <c r="F671" t="s">
        <v>17</v>
      </c>
      <c r="G671">
        <v>2</v>
      </c>
      <c r="H671">
        <v>41135</v>
      </c>
      <c r="I671">
        <v>16454</v>
      </c>
      <c r="J671" t="s">
        <v>36</v>
      </c>
      <c r="K671" t="s">
        <v>30</v>
      </c>
      <c r="L671" t="s">
        <v>23</v>
      </c>
      <c r="M671" t="s">
        <v>24</v>
      </c>
      <c r="N671">
        <v>65816</v>
      </c>
    </row>
    <row r="672" spans="1:14" x14ac:dyDescent="0.3">
      <c r="A672" t="s">
        <v>712</v>
      </c>
      <c r="B672" s="1">
        <v>45073</v>
      </c>
      <c r="C672" t="s">
        <v>46</v>
      </c>
      <c r="D672" t="s">
        <v>40</v>
      </c>
      <c r="E672" t="s">
        <v>16</v>
      </c>
      <c r="F672" t="s">
        <v>47</v>
      </c>
      <c r="G672">
        <v>4</v>
      </c>
      <c r="H672">
        <v>5390</v>
      </c>
      <c r="I672">
        <v>3234</v>
      </c>
      <c r="J672" t="s">
        <v>36</v>
      </c>
      <c r="K672" t="s">
        <v>19</v>
      </c>
      <c r="L672" t="s">
        <v>20</v>
      </c>
      <c r="M672" t="s">
        <v>33</v>
      </c>
      <c r="N672">
        <v>18326</v>
      </c>
    </row>
    <row r="673" spans="1:14" x14ac:dyDescent="0.3">
      <c r="A673" t="s">
        <v>713</v>
      </c>
      <c r="B673" s="1">
        <v>44946</v>
      </c>
      <c r="C673" t="s">
        <v>14</v>
      </c>
      <c r="D673" t="s">
        <v>15</v>
      </c>
      <c r="E673" t="s">
        <v>16</v>
      </c>
      <c r="F673" t="s">
        <v>28</v>
      </c>
      <c r="G673">
        <v>1</v>
      </c>
      <c r="H673">
        <v>4775</v>
      </c>
      <c r="I673">
        <v>716.25</v>
      </c>
      <c r="J673" t="s">
        <v>36</v>
      </c>
      <c r="K673" t="s">
        <v>30</v>
      </c>
      <c r="L673" t="s">
        <v>23</v>
      </c>
      <c r="M673" t="s">
        <v>24</v>
      </c>
      <c r="N673">
        <v>4058.75</v>
      </c>
    </row>
    <row r="674" spans="1:14" x14ac:dyDescent="0.3">
      <c r="A674" t="s">
        <v>714</v>
      </c>
      <c r="B674" s="1">
        <v>44973</v>
      </c>
      <c r="C674" t="s">
        <v>26</v>
      </c>
      <c r="D674" t="s">
        <v>43</v>
      </c>
      <c r="E674" t="s">
        <v>27</v>
      </c>
      <c r="F674" t="s">
        <v>47</v>
      </c>
      <c r="G674">
        <v>4</v>
      </c>
      <c r="H674">
        <v>40695</v>
      </c>
      <c r="I674">
        <v>32556</v>
      </c>
      <c r="J674" t="s">
        <v>50</v>
      </c>
      <c r="K674" t="s">
        <v>30</v>
      </c>
      <c r="L674" t="s">
        <v>23</v>
      </c>
      <c r="M674" t="s">
        <v>21</v>
      </c>
      <c r="N674">
        <v>130224</v>
      </c>
    </row>
    <row r="675" spans="1:14" x14ac:dyDescent="0.3">
      <c r="A675" t="s">
        <v>715</v>
      </c>
      <c r="B675" s="1">
        <v>45159</v>
      </c>
      <c r="C675" t="s">
        <v>39</v>
      </c>
      <c r="D675" t="s">
        <v>40</v>
      </c>
      <c r="E675" t="s">
        <v>27</v>
      </c>
      <c r="F675" t="s">
        <v>49</v>
      </c>
      <c r="G675">
        <v>6</v>
      </c>
      <c r="H675">
        <v>48346</v>
      </c>
      <c r="I675">
        <v>14503.800000000001</v>
      </c>
      <c r="J675" t="s">
        <v>36</v>
      </c>
      <c r="K675" t="s">
        <v>30</v>
      </c>
      <c r="L675" t="s">
        <v>23</v>
      </c>
      <c r="M675" t="s">
        <v>33</v>
      </c>
      <c r="N675">
        <v>275572.2</v>
      </c>
    </row>
    <row r="676" spans="1:14" x14ac:dyDescent="0.3">
      <c r="A676" t="s">
        <v>716</v>
      </c>
      <c r="B676" s="1">
        <v>45231</v>
      </c>
      <c r="C676" t="s">
        <v>14</v>
      </c>
      <c r="D676" t="s">
        <v>15</v>
      </c>
      <c r="E676" t="s">
        <v>16</v>
      </c>
      <c r="F676" t="s">
        <v>47</v>
      </c>
      <c r="G676">
        <v>4</v>
      </c>
      <c r="H676">
        <v>34765</v>
      </c>
      <c r="I676">
        <v>27812</v>
      </c>
      <c r="J676" t="s">
        <v>18</v>
      </c>
      <c r="K676" t="s">
        <v>30</v>
      </c>
      <c r="L676" t="s">
        <v>37</v>
      </c>
      <c r="M676" t="s">
        <v>24</v>
      </c>
      <c r="N676">
        <v>111248</v>
      </c>
    </row>
    <row r="677" spans="1:14" x14ac:dyDescent="0.3">
      <c r="A677" t="s">
        <v>717</v>
      </c>
      <c r="B677" s="1">
        <v>44940</v>
      </c>
      <c r="C677" t="s">
        <v>14</v>
      </c>
      <c r="D677" t="s">
        <v>40</v>
      </c>
      <c r="E677" t="s">
        <v>27</v>
      </c>
      <c r="F677" t="s">
        <v>35</v>
      </c>
      <c r="G677">
        <v>1</v>
      </c>
      <c r="H677">
        <v>35099</v>
      </c>
      <c r="I677">
        <v>0</v>
      </c>
      <c r="J677" t="s">
        <v>29</v>
      </c>
      <c r="K677" t="s">
        <v>30</v>
      </c>
      <c r="L677" t="s">
        <v>23</v>
      </c>
      <c r="M677" t="s">
        <v>33</v>
      </c>
      <c r="N677">
        <v>35099</v>
      </c>
    </row>
    <row r="678" spans="1:14" x14ac:dyDescent="0.3">
      <c r="A678" t="s">
        <v>718</v>
      </c>
      <c r="B678" s="1">
        <v>45069</v>
      </c>
      <c r="C678" t="s">
        <v>26</v>
      </c>
      <c r="D678" t="s">
        <v>15</v>
      </c>
      <c r="E678" t="s">
        <v>44</v>
      </c>
      <c r="F678" t="s">
        <v>47</v>
      </c>
      <c r="G678">
        <v>7</v>
      </c>
      <c r="H678">
        <v>23906</v>
      </c>
      <c r="I678">
        <v>25101.3</v>
      </c>
      <c r="J678" t="s">
        <v>50</v>
      </c>
      <c r="K678" t="s">
        <v>41</v>
      </c>
      <c r="L678" t="s">
        <v>20</v>
      </c>
      <c r="M678" t="s">
        <v>33</v>
      </c>
      <c r="N678">
        <v>142240.69999999899</v>
      </c>
    </row>
    <row r="679" spans="1:14" x14ac:dyDescent="0.3">
      <c r="A679" t="s">
        <v>719</v>
      </c>
      <c r="B679" s="1">
        <v>44927</v>
      </c>
      <c r="C679" t="s">
        <v>32</v>
      </c>
      <c r="D679" t="s">
        <v>43</v>
      </c>
      <c r="E679" t="s">
        <v>44</v>
      </c>
      <c r="F679" t="s">
        <v>17</v>
      </c>
      <c r="G679">
        <v>2</v>
      </c>
      <c r="H679">
        <v>47868</v>
      </c>
      <c r="I679">
        <v>9573.6</v>
      </c>
      <c r="J679" t="s">
        <v>29</v>
      </c>
      <c r="K679" t="s">
        <v>41</v>
      </c>
      <c r="L679" t="s">
        <v>23</v>
      </c>
      <c r="M679" t="s">
        <v>33</v>
      </c>
      <c r="N679">
        <v>86162.4</v>
      </c>
    </row>
    <row r="680" spans="1:14" x14ac:dyDescent="0.3">
      <c r="A680" t="s">
        <v>720</v>
      </c>
      <c r="B680" s="1">
        <v>44980</v>
      </c>
      <c r="C680" t="s">
        <v>46</v>
      </c>
      <c r="D680" t="s">
        <v>40</v>
      </c>
      <c r="E680" t="s">
        <v>27</v>
      </c>
      <c r="F680" t="s">
        <v>49</v>
      </c>
      <c r="G680">
        <v>9</v>
      </c>
      <c r="H680">
        <v>23084</v>
      </c>
      <c r="I680">
        <v>0</v>
      </c>
      <c r="J680" t="s">
        <v>36</v>
      </c>
      <c r="K680" t="s">
        <v>41</v>
      </c>
      <c r="L680" t="s">
        <v>23</v>
      </c>
      <c r="M680" t="s">
        <v>21</v>
      </c>
      <c r="N680">
        <v>207756</v>
      </c>
    </row>
    <row r="681" spans="1:14" x14ac:dyDescent="0.3">
      <c r="A681" t="s">
        <v>721</v>
      </c>
      <c r="B681" s="1">
        <v>45185</v>
      </c>
      <c r="C681" t="s">
        <v>32</v>
      </c>
      <c r="D681" t="s">
        <v>15</v>
      </c>
      <c r="E681" t="s">
        <v>27</v>
      </c>
      <c r="F681" t="s">
        <v>35</v>
      </c>
      <c r="G681">
        <v>3</v>
      </c>
      <c r="H681">
        <v>17399</v>
      </c>
      <c r="I681">
        <v>0</v>
      </c>
      <c r="J681" t="s">
        <v>36</v>
      </c>
      <c r="K681" t="s">
        <v>30</v>
      </c>
      <c r="L681" t="s">
        <v>37</v>
      </c>
      <c r="M681" t="s">
        <v>24</v>
      </c>
      <c r="N681">
        <v>52197</v>
      </c>
    </row>
    <row r="682" spans="1:14" x14ac:dyDescent="0.3">
      <c r="A682" t="s">
        <v>722</v>
      </c>
      <c r="B682" s="1">
        <v>45070</v>
      </c>
      <c r="C682" t="s">
        <v>39</v>
      </c>
      <c r="D682" t="s">
        <v>40</v>
      </c>
      <c r="E682" t="s">
        <v>16</v>
      </c>
      <c r="F682" t="s">
        <v>47</v>
      </c>
      <c r="G682">
        <v>8</v>
      </c>
      <c r="H682">
        <v>44300</v>
      </c>
      <c r="I682">
        <v>70880</v>
      </c>
      <c r="J682" t="s">
        <v>36</v>
      </c>
      <c r="K682" t="s">
        <v>19</v>
      </c>
      <c r="L682" t="s">
        <v>23</v>
      </c>
      <c r="M682" t="s">
        <v>33</v>
      </c>
      <c r="N682">
        <v>283520</v>
      </c>
    </row>
    <row r="683" spans="1:14" x14ac:dyDescent="0.3">
      <c r="A683" t="s">
        <v>723</v>
      </c>
      <c r="B683" s="1">
        <v>44938</v>
      </c>
      <c r="C683" t="s">
        <v>14</v>
      </c>
      <c r="D683" t="s">
        <v>40</v>
      </c>
      <c r="E683" t="s">
        <v>27</v>
      </c>
      <c r="F683" t="s">
        <v>49</v>
      </c>
      <c r="G683">
        <v>8</v>
      </c>
      <c r="H683">
        <v>39634</v>
      </c>
      <c r="I683">
        <v>15853.6</v>
      </c>
      <c r="J683" t="s">
        <v>18</v>
      </c>
      <c r="K683" t="s">
        <v>41</v>
      </c>
      <c r="L683" t="s">
        <v>20</v>
      </c>
      <c r="M683" t="s">
        <v>33</v>
      </c>
      <c r="N683">
        <v>301218.39999999898</v>
      </c>
    </row>
    <row r="684" spans="1:14" x14ac:dyDescent="0.3">
      <c r="A684" t="s">
        <v>724</v>
      </c>
      <c r="B684" s="1">
        <v>45256</v>
      </c>
      <c r="C684" t="s">
        <v>26</v>
      </c>
      <c r="D684" t="s">
        <v>40</v>
      </c>
      <c r="E684" t="s">
        <v>16</v>
      </c>
      <c r="F684" t="s">
        <v>49</v>
      </c>
      <c r="G684">
        <v>3</v>
      </c>
      <c r="H684">
        <v>49494</v>
      </c>
      <c r="I684">
        <v>22272.3</v>
      </c>
      <c r="J684" t="s">
        <v>18</v>
      </c>
      <c r="K684" t="s">
        <v>19</v>
      </c>
      <c r="L684" t="s">
        <v>23</v>
      </c>
      <c r="M684" t="s">
        <v>33</v>
      </c>
      <c r="N684">
        <v>126209.7</v>
      </c>
    </row>
    <row r="685" spans="1:14" x14ac:dyDescent="0.3">
      <c r="A685" t="s">
        <v>725</v>
      </c>
      <c r="B685" s="1">
        <v>45150</v>
      </c>
      <c r="C685" t="s">
        <v>26</v>
      </c>
      <c r="D685" t="s">
        <v>40</v>
      </c>
      <c r="E685" t="s">
        <v>44</v>
      </c>
      <c r="F685" t="s">
        <v>35</v>
      </c>
      <c r="G685">
        <v>4</v>
      </c>
      <c r="H685">
        <v>12679</v>
      </c>
      <c r="I685">
        <v>5071.6000000000004</v>
      </c>
      <c r="J685" t="s">
        <v>50</v>
      </c>
      <c r="K685" t="s">
        <v>19</v>
      </c>
      <c r="L685" t="s">
        <v>20</v>
      </c>
      <c r="M685" t="s">
        <v>24</v>
      </c>
      <c r="N685">
        <v>45644.4</v>
      </c>
    </row>
    <row r="686" spans="1:14" x14ac:dyDescent="0.3">
      <c r="A686" t="s">
        <v>726</v>
      </c>
      <c r="B686" s="1">
        <v>45198</v>
      </c>
      <c r="C686" t="s">
        <v>46</v>
      </c>
      <c r="D686" t="s">
        <v>15</v>
      </c>
      <c r="E686" t="s">
        <v>27</v>
      </c>
      <c r="F686" t="s">
        <v>47</v>
      </c>
      <c r="G686">
        <v>2</v>
      </c>
      <c r="H686">
        <v>34378</v>
      </c>
      <c r="I686">
        <v>0</v>
      </c>
      <c r="J686" t="s">
        <v>29</v>
      </c>
      <c r="K686" t="s">
        <v>30</v>
      </c>
      <c r="L686" t="s">
        <v>37</v>
      </c>
      <c r="M686" t="s">
        <v>33</v>
      </c>
      <c r="N686">
        <v>68756</v>
      </c>
    </row>
    <row r="687" spans="1:14" x14ac:dyDescent="0.3">
      <c r="A687" t="s">
        <v>727</v>
      </c>
      <c r="B687" s="1">
        <v>45284</v>
      </c>
      <c r="C687" t="s">
        <v>32</v>
      </c>
      <c r="D687" t="s">
        <v>43</v>
      </c>
      <c r="E687" t="s">
        <v>16</v>
      </c>
      <c r="F687" t="s">
        <v>49</v>
      </c>
      <c r="G687">
        <v>4</v>
      </c>
      <c r="H687">
        <v>12865</v>
      </c>
      <c r="I687">
        <v>5146</v>
      </c>
      <c r="J687" t="s">
        <v>36</v>
      </c>
      <c r="K687" t="s">
        <v>30</v>
      </c>
      <c r="L687" t="s">
        <v>23</v>
      </c>
      <c r="M687" t="s">
        <v>33</v>
      </c>
      <c r="N687">
        <v>46314</v>
      </c>
    </row>
    <row r="688" spans="1:14" x14ac:dyDescent="0.3">
      <c r="A688" t="s">
        <v>728</v>
      </c>
      <c r="B688" s="1">
        <v>45082</v>
      </c>
      <c r="C688" t="s">
        <v>46</v>
      </c>
      <c r="D688" t="s">
        <v>15</v>
      </c>
      <c r="E688" t="s">
        <v>16</v>
      </c>
      <c r="F688" t="s">
        <v>49</v>
      </c>
      <c r="G688">
        <v>9</v>
      </c>
      <c r="H688">
        <v>734</v>
      </c>
      <c r="I688">
        <v>330.3</v>
      </c>
      <c r="J688" t="s">
        <v>36</v>
      </c>
      <c r="K688" t="s">
        <v>30</v>
      </c>
      <c r="L688" t="s">
        <v>37</v>
      </c>
      <c r="M688" t="s">
        <v>21</v>
      </c>
      <c r="N688">
        <v>6275.7</v>
      </c>
    </row>
    <row r="689" spans="1:14" x14ac:dyDescent="0.3">
      <c r="A689" t="s">
        <v>729</v>
      </c>
      <c r="B689" s="1">
        <v>44934</v>
      </c>
      <c r="C689" t="s">
        <v>14</v>
      </c>
      <c r="D689" t="s">
        <v>15</v>
      </c>
      <c r="E689" t="s">
        <v>44</v>
      </c>
      <c r="F689" t="s">
        <v>28</v>
      </c>
      <c r="G689">
        <v>2</v>
      </c>
      <c r="H689">
        <v>26492</v>
      </c>
      <c r="I689">
        <v>2649.2000000000003</v>
      </c>
      <c r="J689" t="s">
        <v>36</v>
      </c>
      <c r="K689" t="s">
        <v>41</v>
      </c>
      <c r="L689" t="s">
        <v>23</v>
      </c>
      <c r="M689" t="s">
        <v>24</v>
      </c>
      <c r="N689">
        <v>50334.799999999901</v>
      </c>
    </row>
    <row r="690" spans="1:14" x14ac:dyDescent="0.3">
      <c r="A690" t="s">
        <v>730</v>
      </c>
      <c r="B690" s="1">
        <v>45048</v>
      </c>
      <c r="C690" t="s">
        <v>46</v>
      </c>
      <c r="D690" t="s">
        <v>15</v>
      </c>
      <c r="E690" t="s">
        <v>27</v>
      </c>
      <c r="F690" t="s">
        <v>49</v>
      </c>
      <c r="G690">
        <v>3</v>
      </c>
      <c r="H690">
        <v>36332</v>
      </c>
      <c r="I690">
        <v>10899.6</v>
      </c>
      <c r="J690" t="s">
        <v>36</v>
      </c>
      <c r="K690" t="s">
        <v>30</v>
      </c>
      <c r="L690" t="s">
        <v>20</v>
      </c>
      <c r="M690" t="s">
        <v>21</v>
      </c>
      <c r="N690">
        <v>98096.4</v>
      </c>
    </row>
    <row r="691" spans="1:14" x14ac:dyDescent="0.3">
      <c r="A691" t="s">
        <v>731</v>
      </c>
      <c r="B691" s="1">
        <v>45274</v>
      </c>
      <c r="C691" t="s">
        <v>26</v>
      </c>
      <c r="D691" t="s">
        <v>43</v>
      </c>
      <c r="E691" t="s">
        <v>44</v>
      </c>
      <c r="F691" t="s">
        <v>28</v>
      </c>
      <c r="G691">
        <v>4</v>
      </c>
      <c r="H691">
        <v>36310</v>
      </c>
      <c r="I691">
        <v>21786</v>
      </c>
      <c r="J691" t="s">
        <v>18</v>
      </c>
      <c r="K691" t="s">
        <v>41</v>
      </c>
      <c r="L691" t="s">
        <v>37</v>
      </c>
      <c r="M691" t="s">
        <v>24</v>
      </c>
      <c r="N691">
        <v>123454</v>
      </c>
    </row>
    <row r="692" spans="1:14" x14ac:dyDescent="0.3">
      <c r="A692" t="s">
        <v>732</v>
      </c>
      <c r="B692" s="1">
        <v>45090</v>
      </c>
      <c r="C692" t="s">
        <v>26</v>
      </c>
      <c r="D692" t="s">
        <v>40</v>
      </c>
      <c r="E692" t="s">
        <v>16</v>
      </c>
      <c r="F692" t="s">
        <v>47</v>
      </c>
      <c r="G692">
        <v>5</v>
      </c>
      <c r="H692">
        <v>22669</v>
      </c>
      <c r="I692">
        <v>5667.25</v>
      </c>
      <c r="J692" t="s">
        <v>29</v>
      </c>
      <c r="K692" t="s">
        <v>41</v>
      </c>
      <c r="L692" t="s">
        <v>23</v>
      </c>
      <c r="M692" t="s">
        <v>24</v>
      </c>
      <c r="N692">
        <v>107677.75</v>
      </c>
    </row>
    <row r="693" spans="1:14" x14ac:dyDescent="0.3">
      <c r="A693" t="s">
        <v>733</v>
      </c>
      <c r="B693" s="1">
        <v>45016</v>
      </c>
      <c r="C693" t="s">
        <v>39</v>
      </c>
      <c r="D693" t="s">
        <v>40</v>
      </c>
      <c r="E693" t="s">
        <v>16</v>
      </c>
      <c r="F693" t="s">
        <v>47</v>
      </c>
      <c r="G693">
        <v>1</v>
      </c>
      <c r="H693">
        <v>46433</v>
      </c>
      <c r="I693">
        <v>4643.3</v>
      </c>
      <c r="J693" t="s">
        <v>29</v>
      </c>
      <c r="K693" t="s">
        <v>41</v>
      </c>
      <c r="L693" t="s">
        <v>20</v>
      </c>
      <c r="M693" t="s">
        <v>24</v>
      </c>
      <c r="N693">
        <v>41789.699999999997</v>
      </c>
    </row>
    <row r="694" spans="1:14" x14ac:dyDescent="0.3">
      <c r="A694" t="s">
        <v>734</v>
      </c>
      <c r="B694" s="1">
        <v>45062</v>
      </c>
      <c r="C694" t="s">
        <v>39</v>
      </c>
      <c r="D694" t="s">
        <v>40</v>
      </c>
      <c r="E694" t="s">
        <v>27</v>
      </c>
      <c r="F694" t="s">
        <v>47</v>
      </c>
      <c r="G694">
        <v>7</v>
      </c>
      <c r="H694">
        <v>37468</v>
      </c>
      <c r="I694">
        <v>0</v>
      </c>
      <c r="J694" t="s">
        <v>50</v>
      </c>
      <c r="K694" t="s">
        <v>41</v>
      </c>
      <c r="L694" t="s">
        <v>37</v>
      </c>
      <c r="M694" t="s">
        <v>21</v>
      </c>
      <c r="N694">
        <v>262276</v>
      </c>
    </row>
    <row r="695" spans="1:14" x14ac:dyDescent="0.3">
      <c r="A695" t="s">
        <v>735</v>
      </c>
      <c r="B695" s="1">
        <v>45112</v>
      </c>
      <c r="C695" t="s">
        <v>14</v>
      </c>
      <c r="D695" t="s">
        <v>43</v>
      </c>
      <c r="E695" t="s">
        <v>16</v>
      </c>
      <c r="F695" t="s">
        <v>17</v>
      </c>
      <c r="G695">
        <v>7</v>
      </c>
      <c r="H695">
        <v>1372</v>
      </c>
      <c r="I695">
        <v>960.40000000000009</v>
      </c>
      <c r="J695" t="s">
        <v>18</v>
      </c>
      <c r="K695" t="s">
        <v>30</v>
      </c>
      <c r="L695" t="s">
        <v>23</v>
      </c>
      <c r="M695" t="s">
        <v>21</v>
      </c>
      <c r="N695">
        <v>8643.6</v>
      </c>
    </row>
    <row r="696" spans="1:14" x14ac:dyDescent="0.3">
      <c r="A696" t="s">
        <v>736</v>
      </c>
      <c r="B696" s="1">
        <v>45242</v>
      </c>
      <c r="C696" t="s">
        <v>32</v>
      </c>
      <c r="D696" t="s">
        <v>40</v>
      </c>
      <c r="E696" t="s">
        <v>27</v>
      </c>
      <c r="F696" t="s">
        <v>47</v>
      </c>
      <c r="G696">
        <v>9</v>
      </c>
      <c r="H696">
        <v>28114</v>
      </c>
      <c r="I696">
        <v>25302.600000000002</v>
      </c>
      <c r="J696" t="s">
        <v>36</v>
      </c>
      <c r="K696" t="s">
        <v>41</v>
      </c>
      <c r="L696" t="s">
        <v>37</v>
      </c>
      <c r="M696" t="s">
        <v>21</v>
      </c>
      <c r="N696">
        <v>227723.4</v>
      </c>
    </row>
    <row r="697" spans="1:14" x14ac:dyDescent="0.3">
      <c r="A697" t="s">
        <v>737</v>
      </c>
      <c r="B697" s="1">
        <v>45104</v>
      </c>
      <c r="C697" t="s">
        <v>46</v>
      </c>
      <c r="D697" t="s">
        <v>43</v>
      </c>
      <c r="E697" t="s">
        <v>44</v>
      </c>
      <c r="F697" t="s">
        <v>49</v>
      </c>
      <c r="G697">
        <v>4</v>
      </c>
      <c r="H697">
        <v>21101</v>
      </c>
      <c r="I697">
        <v>16880.8</v>
      </c>
      <c r="J697" t="s">
        <v>29</v>
      </c>
      <c r="K697" t="s">
        <v>30</v>
      </c>
      <c r="L697" t="s">
        <v>23</v>
      </c>
      <c r="M697" t="s">
        <v>21</v>
      </c>
      <c r="N697">
        <v>67523.199999999997</v>
      </c>
    </row>
    <row r="698" spans="1:14" x14ac:dyDescent="0.3">
      <c r="A698" t="s">
        <v>738</v>
      </c>
      <c r="B698" s="1">
        <v>44954</v>
      </c>
      <c r="C698" t="s">
        <v>14</v>
      </c>
      <c r="D698" t="s">
        <v>40</v>
      </c>
      <c r="E698" t="s">
        <v>27</v>
      </c>
      <c r="F698" t="s">
        <v>35</v>
      </c>
      <c r="G698">
        <v>6</v>
      </c>
      <c r="H698">
        <v>40975</v>
      </c>
      <c r="I698">
        <v>12292.5</v>
      </c>
      <c r="J698" t="s">
        <v>29</v>
      </c>
      <c r="K698" t="s">
        <v>30</v>
      </c>
      <c r="L698" t="s">
        <v>20</v>
      </c>
      <c r="M698" t="s">
        <v>33</v>
      </c>
      <c r="N698">
        <v>233557.5</v>
      </c>
    </row>
    <row r="699" spans="1:14" x14ac:dyDescent="0.3">
      <c r="A699" t="s">
        <v>739</v>
      </c>
      <c r="B699" s="1">
        <v>45146</v>
      </c>
      <c r="C699" t="s">
        <v>39</v>
      </c>
      <c r="D699" t="s">
        <v>40</v>
      </c>
      <c r="E699" t="s">
        <v>27</v>
      </c>
      <c r="F699" t="s">
        <v>28</v>
      </c>
      <c r="G699">
        <v>2</v>
      </c>
      <c r="H699">
        <v>34609</v>
      </c>
      <c r="I699">
        <v>10382.699999999999</v>
      </c>
      <c r="J699" t="s">
        <v>18</v>
      </c>
      <c r="K699" t="s">
        <v>41</v>
      </c>
      <c r="L699" t="s">
        <v>20</v>
      </c>
      <c r="M699" t="s">
        <v>33</v>
      </c>
      <c r="N699">
        <v>58835.299999999901</v>
      </c>
    </row>
    <row r="700" spans="1:14" x14ac:dyDescent="0.3">
      <c r="A700" t="s">
        <v>740</v>
      </c>
      <c r="B700" s="1">
        <v>45283</v>
      </c>
      <c r="C700" t="s">
        <v>46</v>
      </c>
      <c r="D700" t="s">
        <v>15</v>
      </c>
      <c r="E700" t="s">
        <v>16</v>
      </c>
      <c r="F700" t="s">
        <v>17</v>
      </c>
      <c r="G700">
        <v>4</v>
      </c>
      <c r="H700">
        <v>49823</v>
      </c>
      <c r="I700">
        <v>29893.8</v>
      </c>
      <c r="J700" t="s">
        <v>50</v>
      </c>
      <c r="K700" t="s">
        <v>30</v>
      </c>
      <c r="L700" t="s">
        <v>37</v>
      </c>
      <c r="M700" t="s">
        <v>33</v>
      </c>
      <c r="N700">
        <v>169398.19999999899</v>
      </c>
    </row>
    <row r="701" spans="1:14" x14ac:dyDescent="0.3">
      <c r="A701" t="s">
        <v>741</v>
      </c>
      <c r="B701" s="1">
        <v>44967</v>
      </c>
      <c r="C701" t="s">
        <v>39</v>
      </c>
      <c r="D701" t="s">
        <v>43</v>
      </c>
      <c r="E701" t="s">
        <v>16</v>
      </c>
      <c r="F701" t="s">
        <v>47</v>
      </c>
      <c r="G701">
        <v>2</v>
      </c>
      <c r="H701">
        <v>19524</v>
      </c>
      <c r="I701">
        <v>7809.6</v>
      </c>
      <c r="J701" t="s">
        <v>50</v>
      </c>
      <c r="K701" t="s">
        <v>19</v>
      </c>
      <c r="L701" t="s">
        <v>37</v>
      </c>
      <c r="M701" t="s">
        <v>24</v>
      </c>
      <c r="N701">
        <v>31238.400000000001</v>
      </c>
    </row>
    <row r="702" spans="1:14" x14ac:dyDescent="0.3">
      <c r="A702" t="s">
        <v>742</v>
      </c>
      <c r="B702" s="1">
        <v>45154</v>
      </c>
      <c r="C702" t="s">
        <v>46</v>
      </c>
      <c r="D702" t="s">
        <v>15</v>
      </c>
      <c r="E702" t="s">
        <v>27</v>
      </c>
      <c r="F702" t="s">
        <v>47</v>
      </c>
      <c r="G702">
        <v>5</v>
      </c>
      <c r="H702">
        <v>8938</v>
      </c>
      <c r="I702">
        <v>6703.5</v>
      </c>
      <c r="J702" t="s">
        <v>36</v>
      </c>
      <c r="K702" t="s">
        <v>30</v>
      </c>
      <c r="L702" t="s">
        <v>23</v>
      </c>
      <c r="M702" t="s">
        <v>33</v>
      </c>
      <c r="N702">
        <v>37986.5</v>
      </c>
    </row>
    <row r="703" spans="1:14" x14ac:dyDescent="0.3">
      <c r="A703" t="s">
        <v>743</v>
      </c>
      <c r="B703" s="1">
        <v>45118</v>
      </c>
      <c r="C703" t="s">
        <v>32</v>
      </c>
      <c r="D703" t="s">
        <v>15</v>
      </c>
      <c r="E703" t="s">
        <v>16</v>
      </c>
      <c r="F703" t="s">
        <v>35</v>
      </c>
      <c r="G703">
        <v>7</v>
      </c>
      <c r="H703">
        <v>37694</v>
      </c>
      <c r="I703">
        <v>26385.800000000003</v>
      </c>
      <c r="J703" t="s">
        <v>50</v>
      </c>
      <c r="K703" t="s">
        <v>30</v>
      </c>
      <c r="L703" t="s">
        <v>20</v>
      </c>
      <c r="M703" t="s">
        <v>24</v>
      </c>
      <c r="N703">
        <v>237472.2</v>
      </c>
    </row>
    <row r="704" spans="1:14" x14ac:dyDescent="0.3">
      <c r="A704" t="s">
        <v>744</v>
      </c>
      <c r="B704" s="1">
        <v>45071</v>
      </c>
      <c r="C704" t="s">
        <v>14</v>
      </c>
      <c r="D704" t="s">
        <v>15</v>
      </c>
      <c r="E704" t="s">
        <v>16</v>
      </c>
      <c r="F704" t="s">
        <v>35</v>
      </c>
      <c r="G704">
        <v>1</v>
      </c>
      <c r="H704">
        <v>44757</v>
      </c>
      <c r="I704">
        <v>8951.4</v>
      </c>
      <c r="J704" t="s">
        <v>29</v>
      </c>
      <c r="K704" t="s">
        <v>41</v>
      </c>
      <c r="L704" t="s">
        <v>23</v>
      </c>
      <c r="M704" t="s">
        <v>21</v>
      </c>
      <c r="N704">
        <v>35805.599999999999</v>
      </c>
    </row>
    <row r="705" spans="1:14" x14ac:dyDescent="0.3">
      <c r="A705" t="s">
        <v>745</v>
      </c>
      <c r="B705" s="1">
        <v>45127</v>
      </c>
      <c r="C705" t="s">
        <v>46</v>
      </c>
      <c r="D705" t="s">
        <v>43</v>
      </c>
      <c r="E705" t="s">
        <v>16</v>
      </c>
      <c r="F705" t="s">
        <v>17</v>
      </c>
      <c r="G705">
        <v>7</v>
      </c>
      <c r="H705">
        <v>24254</v>
      </c>
      <c r="I705">
        <v>0</v>
      </c>
      <c r="J705" t="s">
        <v>50</v>
      </c>
      <c r="K705" t="s">
        <v>41</v>
      </c>
      <c r="L705" t="s">
        <v>20</v>
      </c>
      <c r="M705" t="s">
        <v>24</v>
      </c>
      <c r="N705">
        <v>169778</v>
      </c>
    </row>
    <row r="706" spans="1:14" x14ac:dyDescent="0.3">
      <c r="A706" t="s">
        <v>746</v>
      </c>
      <c r="B706" s="1">
        <v>45138</v>
      </c>
      <c r="C706" t="s">
        <v>26</v>
      </c>
      <c r="D706" t="s">
        <v>43</v>
      </c>
      <c r="E706" t="s">
        <v>27</v>
      </c>
      <c r="F706" t="s">
        <v>28</v>
      </c>
      <c r="G706">
        <v>6</v>
      </c>
      <c r="H706">
        <v>29909</v>
      </c>
      <c r="I706">
        <v>8972.7000000000007</v>
      </c>
      <c r="J706" t="s">
        <v>36</v>
      </c>
      <c r="K706" t="s">
        <v>30</v>
      </c>
      <c r="L706" t="s">
        <v>37</v>
      </c>
      <c r="M706" t="s">
        <v>24</v>
      </c>
      <c r="N706">
        <v>170481.3</v>
      </c>
    </row>
    <row r="707" spans="1:14" x14ac:dyDescent="0.3">
      <c r="A707" t="s">
        <v>747</v>
      </c>
      <c r="B707" s="1">
        <v>45146</v>
      </c>
      <c r="C707" t="s">
        <v>26</v>
      </c>
      <c r="D707" t="s">
        <v>40</v>
      </c>
      <c r="E707" t="s">
        <v>16</v>
      </c>
      <c r="F707" t="s">
        <v>47</v>
      </c>
      <c r="G707">
        <v>6</v>
      </c>
      <c r="H707">
        <v>43985</v>
      </c>
      <c r="I707">
        <v>13195.5</v>
      </c>
      <c r="J707" t="s">
        <v>29</v>
      </c>
      <c r="K707" t="s">
        <v>41</v>
      </c>
      <c r="L707" t="s">
        <v>23</v>
      </c>
      <c r="M707" t="s">
        <v>33</v>
      </c>
      <c r="N707">
        <v>250714.5</v>
      </c>
    </row>
    <row r="708" spans="1:14" x14ac:dyDescent="0.3">
      <c r="A708" t="s">
        <v>748</v>
      </c>
      <c r="B708" s="1">
        <v>45166</v>
      </c>
      <c r="C708" t="s">
        <v>46</v>
      </c>
      <c r="D708" t="s">
        <v>15</v>
      </c>
      <c r="E708" t="s">
        <v>27</v>
      </c>
      <c r="F708" t="s">
        <v>17</v>
      </c>
      <c r="G708">
        <v>8</v>
      </c>
      <c r="H708">
        <v>20307</v>
      </c>
      <c r="I708">
        <v>8122.8</v>
      </c>
      <c r="J708" t="s">
        <v>50</v>
      </c>
      <c r="K708" t="s">
        <v>19</v>
      </c>
      <c r="L708" t="s">
        <v>23</v>
      </c>
      <c r="M708" t="s">
        <v>21</v>
      </c>
      <c r="N708">
        <v>154333.19999999899</v>
      </c>
    </row>
    <row r="709" spans="1:14" x14ac:dyDescent="0.3">
      <c r="A709" t="s">
        <v>749</v>
      </c>
      <c r="B709" s="1">
        <v>44972</v>
      </c>
      <c r="C709" t="s">
        <v>46</v>
      </c>
      <c r="D709" t="s">
        <v>40</v>
      </c>
      <c r="E709" t="s">
        <v>16</v>
      </c>
      <c r="F709" t="s">
        <v>49</v>
      </c>
      <c r="G709">
        <v>8</v>
      </c>
      <c r="H709">
        <v>563</v>
      </c>
      <c r="I709">
        <v>450.40000000000003</v>
      </c>
      <c r="J709" t="s">
        <v>50</v>
      </c>
      <c r="K709" t="s">
        <v>19</v>
      </c>
      <c r="L709" t="s">
        <v>20</v>
      </c>
      <c r="M709" t="s">
        <v>21</v>
      </c>
      <c r="N709">
        <v>4053.6</v>
      </c>
    </row>
    <row r="710" spans="1:14" x14ac:dyDescent="0.3">
      <c r="A710" t="s">
        <v>750</v>
      </c>
      <c r="B710" s="1">
        <v>44961</v>
      </c>
      <c r="C710" t="s">
        <v>46</v>
      </c>
      <c r="D710" t="s">
        <v>15</v>
      </c>
      <c r="E710" t="s">
        <v>44</v>
      </c>
      <c r="F710" t="s">
        <v>49</v>
      </c>
      <c r="G710">
        <v>6</v>
      </c>
      <c r="H710">
        <v>10558</v>
      </c>
      <c r="I710">
        <v>0</v>
      </c>
      <c r="J710" t="s">
        <v>18</v>
      </c>
      <c r="K710" t="s">
        <v>41</v>
      </c>
      <c r="L710" t="s">
        <v>20</v>
      </c>
      <c r="M710" t="s">
        <v>33</v>
      </c>
      <c r="N710">
        <v>63348</v>
      </c>
    </row>
    <row r="711" spans="1:14" x14ac:dyDescent="0.3">
      <c r="A711" t="s">
        <v>751</v>
      </c>
      <c r="B711" s="1">
        <v>45179</v>
      </c>
      <c r="C711" t="s">
        <v>26</v>
      </c>
      <c r="D711" t="s">
        <v>43</v>
      </c>
      <c r="E711" t="s">
        <v>16</v>
      </c>
      <c r="F711" t="s">
        <v>17</v>
      </c>
      <c r="G711">
        <v>3</v>
      </c>
      <c r="H711">
        <v>36277</v>
      </c>
      <c r="I711">
        <v>21766.2</v>
      </c>
      <c r="J711" t="s">
        <v>36</v>
      </c>
      <c r="K711" t="s">
        <v>30</v>
      </c>
      <c r="L711" t="s">
        <v>20</v>
      </c>
      <c r="M711" t="s">
        <v>21</v>
      </c>
      <c r="N711">
        <v>87064.8</v>
      </c>
    </row>
    <row r="712" spans="1:14" x14ac:dyDescent="0.3">
      <c r="A712" t="s">
        <v>752</v>
      </c>
      <c r="B712" s="1">
        <v>45008</v>
      </c>
      <c r="C712" t="s">
        <v>26</v>
      </c>
      <c r="D712" t="s">
        <v>43</v>
      </c>
      <c r="E712" t="s">
        <v>16</v>
      </c>
      <c r="F712" t="s">
        <v>47</v>
      </c>
      <c r="G712">
        <v>5</v>
      </c>
      <c r="H712">
        <v>49897</v>
      </c>
      <c r="I712">
        <v>49897</v>
      </c>
      <c r="J712" t="s">
        <v>50</v>
      </c>
      <c r="K712" t="s">
        <v>19</v>
      </c>
      <c r="L712" t="s">
        <v>37</v>
      </c>
      <c r="M712" t="s">
        <v>21</v>
      </c>
      <c r="N712">
        <v>199588</v>
      </c>
    </row>
    <row r="713" spans="1:14" x14ac:dyDescent="0.3">
      <c r="A713" t="s">
        <v>753</v>
      </c>
      <c r="B713" s="1">
        <v>45182</v>
      </c>
      <c r="C713" t="s">
        <v>46</v>
      </c>
      <c r="D713" t="s">
        <v>43</v>
      </c>
      <c r="E713" t="s">
        <v>27</v>
      </c>
      <c r="F713" t="s">
        <v>17</v>
      </c>
      <c r="G713">
        <v>2</v>
      </c>
      <c r="H713">
        <v>3440</v>
      </c>
      <c r="I713">
        <v>344</v>
      </c>
      <c r="J713" t="s">
        <v>18</v>
      </c>
      <c r="K713" t="s">
        <v>19</v>
      </c>
      <c r="L713" t="s">
        <v>23</v>
      </c>
      <c r="M713" t="s">
        <v>21</v>
      </c>
      <c r="N713">
        <v>6536</v>
      </c>
    </row>
    <row r="714" spans="1:14" x14ac:dyDescent="0.3">
      <c r="A714" t="s">
        <v>754</v>
      </c>
      <c r="B714" s="1">
        <v>45123</v>
      </c>
      <c r="C714" t="s">
        <v>39</v>
      </c>
      <c r="D714" t="s">
        <v>15</v>
      </c>
      <c r="E714" t="s">
        <v>27</v>
      </c>
      <c r="F714" t="s">
        <v>47</v>
      </c>
      <c r="G714">
        <v>5</v>
      </c>
      <c r="H714">
        <v>6865</v>
      </c>
      <c r="I714">
        <v>0</v>
      </c>
      <c r="J714" t="s">
        <v>29</v>
      </c>
      <c r="K714" t="s">
        <v>30</v>
      </c>
      <c r="L714" t="s">
        <v>20</v>
      </c>
      <c r="M714" t="s">
        <v>33</v>
      </c>
      <c r="N714">
        <v>34325</v>
      </c>
    </row>
    <row r="715" spans="1:14" x14ac:dyDescent="0.3">
      <c r="A715" t="s">
        <v>755</v>
      </c>
      <c r="B715" s="1">
        <v>45229</v>
      </c>
      <c r="C715" t="s">
        <v>39</v>
      </c>
      <c r="D715" t="s">
        <v>43</v>
      </c>
      <c r="E715" t="s">
        <v>16</v>
      </c>
      <c r="F715" t="s">
        <v>35</v>
      </c>
      <c r="G715">
        <v>9</v>
      </c>
      <c r="H715">
        <v>45889</v>
      </c>
      <c r="I715">
        <v>0</v>
      </c>
      <c r="J715" t="s">
        <v>18</v>
      </c>
      <c r="K715" t="s">
        <v>41</v>
      </c>
      <c r="L715" t="s">
        <v>37</v>
      </c>
      <c r="M715" t="s">
        <v>21</v>
      </c>
      <c r="N715">
        <v>413001</v>
      </c>
    </row>
    <row r="716" spans="1:14" x14ac:dyDescent="0.3">
      <c r="A716" t="s">
        <v>756</v>
      </c>
      <c r="B716" s="1">
        <v>44936</v>
      </c>
      <c r="C716" t="s">
        <v>32</v>
      </c>
      <c r="D716" t="s">
        <v>15</v>
      </c>
      <c r="E716" t="s">
        <v>44</v>
      </c>
      <c r="F716" t="s">
        <v>17</v>
      </c>
      <c r="G716">
        <v>1</v>
      </c>
      <c r="H716">
        <v>2136</v>
      </c>
      <c r="I716">
        <v>0</v>
      </c>
      <c r="J716" t="s">
        <v>18</v>
      </c>
      <c r="K716" t="s">
        <v>19</v>
      </c>
      <c r="L716" t="s">
        <v>20</v>
      </c>
      <c r="M716" t="s">
        <v>24</v>
      </c>
      <c r="N716">
        <v>2136</v>
      </c>
    </row>
    <row r="717" spans="1:14" x14ac:dyDescent="0.3">
      <c r="A717" t="s">
        <v>757</v>
      </c>
      <c r="B717" s="1">
        <v>45238</v>
      </c>
      <c r="C717" t="s">
        <v>14</v>
      </c>
      <c r="D717" t="s">
        <v>40</v>
      </c>
      <c r="E717" t="s">
        <v>16</v>
      </c>
      <c r="F717" t="s">
        <v>47</v>
      </c>
      <c r="G717">
        <v>5</v>
      </c>
      <c r="H717">
        <v>46936</v>
      </c>
      <c r="I717">
        <v>35202</v>
      </c>
      <c r="J717" t="s">
        <v>50</v>
      </c>
      <c r="K717" t="s">
        <v>30</v>
      </c>
      <c r="L717" t="s">
        <v>23</v>
      </c>
      <c r="M717" t="s">
        <v>24</v>
      </c>
      <c r="N717">
        <v>199478</v>
      </c>
    </row>
    <row r="718" spans="1:14" x14ac:dyDescent="0.3">
      <c r="A718" t="s">
        <v>758</v>
      </c>
      <c r="B718" s="1">
        <v>45212</v>
      </c>
      <c r="C718" t="s">
        <v>39</v>
      </c>
      <c r="D718" t="s">
        <v>15</v>
      </c>
      <c r="E718" t="s">
        <v>16</v>
      </c>
      <c r="F718" t="s">
        <v>17</v>
      </c>
      <c r="G718">
        <v>6</v>
      </c>
      <c r="H718">
        <v>25738</v>
      </c>
      <c r="I718">
        <v>23164.2</v>
      </c>
      <c r="J718" t="s">
        <v>50</v>
      </c>
      <c r="K718" t="s">
        <v>30</v>
      </c>
      <c r="L718" t="s">
        <v>20</v>
      </c>
      <c r="M718" t="s">
        <v>21</v>
      </c>
      <c r="N718">
        <v>131263.79999999999</v>
      </c>
    </row>
    <row r="719" spans="1:14" x14ac:dyDescent="0.3">
      <c r="A719" t="s">
        <v>759</v>
      </c>
      <c r="B719" s="1">
        <v>45168</v>
      </c>
      <c r="C719" t="s">
        <v>26</v>
      </c>
      <c r="D719" t="s">
        <v>40</v>
      </c>
      <c r="E719" t="s">
        <v>44</v>
      </c>
      <c r="F719" t="s">
        <v>17</v>
      </c>
      <c r="G719">
        <v>7</v>
      </c>
      <c r="H719">
        <v>44165</v>
      </c>
      <c r="I719">
        <v>15457.75</v>
      </c>
      <c r="J719" t="s">
        <v>50</v>
      </c>
      <c r="K719" t="s">
        <v>19</v>
      </c>
      <c r="L719" t="s">
        <v>23</v>
      </c>
      <c r="M719" t="s">
        <v>33</v>
      </c>
      <c r="N719">
        <v>293697.25</v>
      </c>
    </row>
    <row r="720" spans="1:14" x14ac:dyDescent="0.3">
      <c r="A720" t="s">
        <v>760</v>
      </c>
      <c r="B720" s="1">
        <v>45177</v>
      </c>
      <c r="C720" t="s">
        <v>39</v>
      </c>
      <c r="D720" t="s">
        <v>15</v>
      </c>
      <c r="E720" t="s">
        <v>27</v>
      </c>
      <c r="F720" t="s">
        <v>47</v>
      </c>
      <c r="G720">
        <v>9</v>
      </c>
      <c r="H720">
        <v>12198</v>
      </c>
      <c r="I720">
        <v>0</v>
      </c>
      <c r="J720" t="s">
        <v>18</v>
      </c>
      <c r="K720" t="s">
        <v>41</v>
      </c>
      <c r="L720" t="s">
        <v>37</v>
      </c>
      <c r="M720" t="s">
        <v>33</v>
      </c>
      <c r="N720">
        <v>109782</v>
      </c>
    </row>
    <row r="721" spans="1:14" x14ac:dyDescent="0.3">
      <c r="A721" t="s">
        <v>761</v>
      </c>
      <c r="B721" s="1">
        <v>45291</v>
      </c>
      <c r="C721" t="s">
        <v>32</v>
      </c>
      <c r="D721" t="s">
        <v>40</v>
      </c>
      <c r="E721" t="s">
        <v>16</v>
      </c>
      <c r="F721" t="s">
        <v>47</v>
      </c>
      <c r="G721">
        <v>6</v>
      </c>
      <c r="H721">
        <v>1082</v>
      </c>
      <c r="I721">
        <v>0</v>
      </c>
      <c r="J721" t="s">
        <v>29</v>
      </c>
      <c r="K721" t="s">
        <v>19</v>
      </c>
      <c r="L721" t="s">
        <v>37</v>
      </c>
      <c r="M721" t="s">
        <v>33</v>
      </c>
      <c r="N721">
        <v>6492</v>
      </c>
    </row>
    <row r="722" spans="1:14" x14ac:dyDescent="0.3">
      <c r="A722" t="s">
        <v>762</v>
      </c>
      <c r="B722" s="1">
        <v>44931</v>
      </c>
      <c r="C722" t="s">
        <v>32</v>
      </c>
      <c r="D722" t="s">
        <v>43</v>
      </c>
      <c r="E722" t="s">
        <v>27</v>
      </c>
      <c r="F722" t="s">
        <v>28</v>
      </c>
      <c r="G722">
        <v>5</v>
      </c>
      <c r="H722">
        <v>20424</v>
      </c>
      <c r="I722">
        <v>20424</v>
      </c>
      <c r="J722" t="s">
        <v>36</v>
      </c>
      <c r="K722" t="s">
        <v>30</v>
      </c>
      <c r="L722" t="s">
        <v>20</v>
      </c>
      <c r="M722" t="s">
        <v>21</v>
      </c>
      <c r="N722">
        <v>81696</v>
      </c>
    </row>
    <row r="723" spans="1:14" x14ac:dyDescent="0.3">
      <c r="A723" t="s">
        <v>763</v>
      </c>
      <c r="B723" s="1">
        <v>45045</v>
      </c>
      <c r="C723" t="s">
        <v>14</v>
      </c>
      <c r="D723" t="s">
        <v>40</v>
      </c>
      <c r="E723" t="s">
        <v>27</v>
      </c>
      <c r="F723" t="s">
        <v>17</v>
      </c>
      <c r="G723">
        <v>7</v>
      </c>
      <c r="H723">
        <v>39891</v>
      </c>
      <c r="I723">
        <v>55847.4</v>
      </c>
      <c r="J723" t="s">
        <v>18</v>
      </c>
      <c r="K723" t="s">
        <v>19</v>
      </c>
      <c r="L723" t="s">
        <v>23</v>
      </c>
      <c r="M723" t="s">
        <v>21</v>
      </c>
      <c r="N723">
        <v>223389.6</v>
      </c>
    </row>
    <row r="724" spans="1:14" x14ac:dyDescent="0.3">
      <c r="A724" t="s">
        <v>764</v>
      </c>
      <c r="B724" s="1">
        <v>45215</v>
      </c>
      <c r="C724" t="s">
        <v>39</v>
      </c>
      <c r="D724" t="s">
        <v>43</v>
      </c>
      <c r="E724" t="s">
        <v>44</v>
      </c>
      <c r="F724" t="s">
        <v>49</v>
      </c>
      <c r="G724">
        <v>1</v>
      </c>
      <c r="H724">
        <v>46676</v>
      </c>
      <c r="I724">
        <v>2333.8000000000002</v>
      </c>
      <c r="J724" t="s">
        <v>50</v>
      </c>
      <c r="K724" t="s">
        <v>41</v>
      </c>
      <c r="L724" t="s">
        <v>23</v>
      </c>
      <c r="M724" t="s">
        <v>24</v>
      </c>
      <c r="N724">
        <v>44342.2</v>
      </c>
    </row>
    <row r="725" spans="1:14" x14ac:dyDescent="0.3">
      <c r="A725" t="s">
        <v>765</v>
      </c>
      <c r="B725" s="1">
        <v>44991</v>
      </c>
      <c r="C725" t="s">
        <v>26</v>
      </c>
      <c r="D725" t="s">
        <v>43</v>
      </c>
      <c r="E725" t="s">
        <v>44</v>
      </c>
      <c r="F725" t="s">
        <v>17</v>
      </c>
      <c r="G725">
        <v>5</v>
      </c>
      <c r="H725">
        <v>31025</v>
      </c>
      <c r="I725">
        <v>0</v>
      </c>
      <c r="J725" t="s">
        <v>36</v>
      </c>
      <c r="K725" t="s">
        <v>30</v>
      </c>
      <c r="L725" t="s">
        <v>23</v>
      </c>
      <c r="M725" t="s">
        <v>33</v>
      </c>
      <c r="N725">
        <v>155125</v>
      </c>
    </row>
    <row r="726" spans="1:14" x14ac:dyDescent="0.3">
      <c r="A726" t="s">
        <v>766</v>
      </c>
      <c r="B726" s="1">
        <v>45072</v>
      </c>
      <c r="C726" t="s">
        <v>26</v>
      </c>
      <c r="D726" t="s">
        <v>40</v>
      </c>
      <c r="E726" t="s">
        <v>27</v>
      </c>
      <c r="F726" t="s">
        <v>17</v>
      </c>
      <c r="G726">
        <v>2</v>
      </c>
      <c r="H726">
        <v>5404</v>
      </c>
      <c r="I726">
        <v>540.4</v>
      </c>
      <c r="J726" t="s">
        <v>29</v>
      </c>
      <c r="K726" t="s">
        <v>41</v>
      </c>
      <c r="L726" t="s">
        <v>20</v>
      </c>
      <c r="M726" t="s">
        <v>24</v>
      </c>
      <c r="N726">
        <v>10267.6</v>
      </c>
    </row>
    <row r="727" spans="1:14" x14ac:dyDescent="0.3">
      <c r="A727" t="s">
        <v>767</v>
      </c>
      <c r="B727" s="1">
        <v>45150</v>
      </c>
      <c r="C727" t="s">
        <v>46</v>
      </c>
      <c r="D727" t="s">
        <v>15</v>
      </c>
      <c r="E727" t="s">
        <v>16</v>
      </c>
      <c r="F727" t="s">
        <v>47</v>
      </c>
      <c r="G727">
        <v>4</v>
      </c>
      <c r="H727">
        <v>29085</v>
      </c>
      <c r="I727">
        <v>23268</v>
      </c>
      <c r="J727" t="s">
        <v>36</v>
      </c>
      <c r="K727" t="s">
        <v>19</v>
      </c>
      <c r="L727" t="s">
        <v>23</v>
      </c>
      <c r="M727" t="s">
        <v>24</v>
      </c>
      <c r="N727">
        <v>93072</v>
      </c>
    </row>
    <row r="728" spans="1:14" x14ac:dyDescent="0.3">
      <c r="A728" t="s">
        <v>768</v>
      </c>
      <c r="B728" s="1">
        <v>45165</v>
      </c>
      <c r="C728" t="s">
        <v>26</v>
      </c>
      <c r="D728" t="s">
        <v>15</v>
      </c>
      <c r="E728" t="s">
        <v>27</v>
      </c>
      <c r="F728" t="s">
        <v>17</v>
      </c>
      <c r="G728">
        <v>7</v>
      </c>
      <c r="H728">
        <v>40256</v>
      </c>
      <c r="I728">
        <v>56358.400000000001</v>
      </c>
      <c r="J728" t="s">
        <v>50</v>
      </c>
      <c r="K728" t="s">
        <v>19</v>
      </c>
      <c r="L728" t="s">
        <v>23</v>
      </c>
      <c r="M728" t="s">
        <v>33</v>
      </c>
      <c r="N728">
        <v>225433.60000000001</v>
      </c>
    </row>
    <row r="729" spans="1:14" x14ac:dyDescent="0.3">
      <c r="A729" t="s">
        <v>769</v>
      </c>
      <c r="B729" s="1">
        <v>45103</v>
      </c>
      <c r="C729" t="s">
        <v>14</v>
      </c>
      <c r="D729" t="s">
        <v>15</v>
      </c>
      <c r="E729" t="s">
        <v>16</v>
      </c>
      <c r="F729" t="s">
        <v>17</v>
      </c>
      <c r="G729">
        <v>5</v>
      </c>
      <c r="H729">
        <v>3403</v>
      </c>
      <c r="I729">
        <v>2552.25</v>
      </c>
      <c r="J729" t="s">
        <v>18</v>
      </c>
      <c r="K729" t="s">
        <v>41</v>
      </c>
      <c r="L729" t="s">
        <v>23</v>
      </c>
      <c r="M729" t="s">
        <v>21</v>
      </c>
      <c r="N729">
        <v>14462.75</v>
      </c>
    </row>
    <row r="730" spans="1:14" x14ac:dyDescent="0.3">
      <c r="A730" t="s">
        <v>770</v>
      </c>
      <c r="B730" s="1">
        <v>45193</v>
      </c>
      <c r="C730" t="s">
        <v>14</v>
      </c>
      <c r="D730" t="s">
        <v>15</v>
      </c>
      <c r="E730" t="s">
        <v>16</v>
      </c>
      <c r="F730" t="s">
        <v>49</v>
      </c>
      <c r="G730">
        <v>6</v>
      </c>
      <c r="H730">
        <v>2444</v>
      </c>
      <c r="I730">
        <v>733.2</v>
      </c>
      <c r="J730" t="s">
        <v>18</v>
      </c>
      <c r="K730" t="s">
        <v>19</v>
      </c>
      <c r="L730" t="s">
        <v>23</v>
      </c>
      <c r="M730" t="s">
        <v>21</v>
      </c>
      <c r="N730">
        <v>13930.8</v>
      </c>
    </row>
    <row r="731" spans="1:14" x14ac:dyDescent="0.3">
      <c r="A731" t="s">
        <v>771</v>
      </c>
      <c r="B731" s="1">
        <v>45267</v>
      </c>
      <c r="C731" t="s">
        <v>26</v>
      </c>
      <c r="D731" t="s">
        <v>15</v>
      </c>
      <c r="E731" t="s">
        <v>44</v>
      </c>
      <c r="F731" t="s">
        <v>47</v>
      </c>
      <c r="G731">
        <v>2</v>
      </c>
      <c r="H731">
        <v>32986</v>
      </c>
      <c r="I731">
        <v>3298.6000000000004</v>
      </c>
      <c r="J731" t="s">
        <v>50</v>
      </c>
      <c r="K731" t="s">
        <v>41</v>
      </c>
      <c r="L731" t="s">
        <v>20</v>
      </c>
      <c r="M731" t="s">
        <v>24</v>
      </c>
      <c r="N731">
        <v>62673.3999999999</v>
      </c>
    </row>
    <row r="732" spans="1:14" x14ac:dyDescent="0.3">
      <c r="A732" t="s">
        <v>772</v>
      </c>
      <c r="B732" s="1">
        <v>45208</v>
      </c>
      <c r="C732" t="s">
        <v>26</v>
      </c>
      <c r="D732" t="s">
        <v>43</v>
      </c>
      <c r="E732" t="s">
        <v>16</v>
      </c>
      <c r="F732" t="s">
        <v>17</v>
      </c>
      <c r="G732">
        <v>3</v>
      </c>
      <c r="H732">
        <v>49993</v>
      </c>
      <c r="I732">
        <v>0</v>
      </c>
      <c r="J732" t="s">
        <v>18</v>
      </c>
      <c r="K732" t="s">
        <v>19</v>
      </c>
      <c r="L732" t="s">
        <v>20</v>
      </c>
      <c r="M732" t="s">
        <v>24</v>
      </c>
      <c r="N732">
        <v>149979</v>
      </c>
    </row>
    <row r="733" spans="1:14" x14ac:dyDescent="0.3">
      <c r="A733" t="s">
        <v>773</v>
      </c>
      <c r="B733" s="1">
        <v>44989</v>
      </c>
      <c r="C733" t="s">
        <v>46</v>
      </c>
      <c r="D733" t="s">
        <v>15</v>
      </c>
      <c r="E733" t="s">
        <v>16</v>
      </c>
      <c r="F733" t="s">
        <v>35</v>
      </c>
      <c r="G733">
        <v>7</v>
      </c>
      <c r="H733">
        <v>3283</v>
      </c>
      <c r="I733">
        <v>0</v>
      </c>
      <c r="J733" t="s">
        <v>50</v>
      </c>
      <c r="K733" t="s">
        <v>41</v>
      </c>
      <c r="L733" t="s">
        <v>23</v>
      </c>
      <c r="M733" t="s">
        <v>24</v>
      </c>
      <c r="N733">
        <v>22981</v>
      </c>
    </row>
    <row r="734" spans="1:14" x14ac:dyDescent="0.3">
      <c r="A734" t="s">
        <v>774</v>
      </c>
      <c r="B734" s="1">
        <v>45143</v>
      </c>
      <c r="C734" t="s">
        <v>26</v>
      </c>
      <c r="D734" t="s">
        <v>43</v>
      </c>
      <c r="E734" t="s">
        <v>27</v>
      </c>
      <c r="F734" t="s">
        <v>28</v>
      </c>
      <c r="G734">
        <v>2</v>
      </c>
      <c r="H734">
        <v>21784</v>
      </c>
      <c r="I734">
        <v>6535.2</v>
      </c>
      <c r="J734" t="s">
        <v>18</v>
      </c>
      <c r="K734" t="s">
        <v>41</v>
      </c>
      <c r="L734" t="s">
        <v>23</v>
      </c>
      <c r="M734" t="s">
        <v>24</v>
      </c>
      <c r="N734">
        <v>37032.799999999901</v>
      </c>
    </row>
    <row r="735" spans="1:14" x14ac:dyDescent="0.3">
      <c r="A735" t="s">
        <v>775</v>
      </c>
      <c r="B735" s="1">
        <v>45268</v>
      </c>
      <c r="C735" t="s">
        <v>46</v>
      </c>
      <c r="D735" t="s">
        <v>43</v>
      </c>
      <c r="E735" t="s">
        <v>44</v>
      </c>
      <c r="F735" t="s">
        <v>49</v>
      </c>
      <c r="G735">
        <v>6</v>
      </c>
      <c r="H735">
        <v>8721</v>
      </c>
      <c r="I735">
        <v>5232.6000000000004</v>
      </c>
      <c r="J735" t="s">
        <v>18</v>
      </c>
      <c r="K735" t="s">
        <v>30</v>
      </c>
      <c r="L735" t="s">
        <v>37</v>
      </c>
      <c r="M735" t="s">
        <v>33</v>
      </c>
      <c r="N735">
        <v>47093.4</v>
      </c>
    </row>
    <row r="736" spans="1:14" x14ac:dyDescent="0.3">
      <c r="A736" t="s">
        <v>776</v>
      </c>
      <c r="B736" s="1">
        <v>45241</v>
      </c>
      <c r="C736" t="s">
        <v>46</v>
      </c>
      <c r="D736" t="s">
        <v>43</v>
      </c>
      <c r="E736" t="s">
        <v>16</v>
      </c>
      <c r="F736" t="s">
        <v>17</v>
      </c>
      <c r="G736">
        <v>5</v>
      </c>
      <c r="H736">
        <v>33741</v>
      </c>
      <c r="I736">
        <v>16870.5</v>
      </c>
      <c r="J736" t="s">
        <v>18</v>
      </c>
      <c r="K736" t="s">
        <v>30</v>
      </c>
      <c r="L736" t="s">
        <v>37</v>
      </c>
      <c r="M736" t="s">
        <v>24</v>
      </c>
      <c r="N736">
        <v>151834.5</v>
      </c>
    </row>
    <row r="737" spans="1:14" x14ac:dyDescent="0.3">
      <c r="A737" t="s">
        <v>777</v>
      </c>
      <c r="B737" s="1">
        <v>45209</v>
      </c>
      <c r="C737" t="s">
        <v>26</v>
      </c>
      <c r="D737" t="s">
        <v>40</v>
      </c>
      <c r="E737" t="s">
        <v>16</v>
      </c>
      <c r="F737" t="s">
        <v>35</v>
      </c>
      <c r="G737">
        <v>1</v>
      </c>
      <c r="H737">
        <v>29263</v>
      </c>
      <c r="I737">
        <v>2926.3</v>
      </c>
      <c r="J737" t="s">
        <v>29</v>
      </c>
      <c r="K737" t="s">
        <v>41</v>
      </c>
      <c r="L737" t="s">
        <v>23</v>
      </c>
      <c r="M737" t="s">
        <v>24</v>
      </c>
      <c r="N737">
        <v>26336.7</v>
      </c>
    </row>
    <row r="738" spans="1:14" x14ac:dyDescent="0.3">
      <c r="A738" t="s">
        <v>778</v>
      </c>
      <c r="B738" s="1">
        <v>45103</v>
      </c>
      <c r="C738" t="s">
        <v>32</v>
      </c>
      <c r="D738" t="s">
        <v>40</v>
      </c>
      <c r="E738" t="s">
        <v>44</v>
      </c>
      <c r="F738" t="s">
        <v>17</v>
      </c>
      <c r="G738">
        <v>4</v>
      </c>
      <c r="H738">
        <v>4932</v>
      </c>
      <c r="I738">
        <v>986.40000000000009</v>
      </c>
      <c r="J738" t="s">
        <v>29</v>
      </c>
      <c r="K738" t="s">
        <v>19</v>
      </c>
      <c r="L738" t="s">
        <v>23</v>
      </c>
      <c r="M738" t="s">
        <v>21</v>
      </c>
      <c r="N738">
        <v>18741.599999999999</v>
      </c>
    </row>
    <row r="739" spans="1:14" x14ac:dyDescent="0.3">
      <c r="A739" t="s">
        <v>779</v>
      </c>
      <c r="B739" s="1">
        <v>45024</v>
      </c>
      <c r="C739" t="s">
        <v>32</v>
      </c>
      <c r="D739" t="s">
        <v>43</v>
      </c>
      <c r="E739" t="s">
        <v>27</v>
      </c>
      <c r="F739" t="s">
        <v>17</v>
      </c>
      <c r="G739">
        <v>2</v>
      </c>
      <c r="H739">
        <v>27718</v>
      </c>
      <c r="I739">
        <v>2771.8</v>
      </c>
      <c r="J739" t="s">
        <v>50</v>
      </c>
      <c r="K739" t="s">
        <v>19</v>
      </c>
      <c r="L739" t="s">
        <v>37</v>
      </c>
      <c r="M739" t="s">
        <v>21</v>
      </c>
      <c r="N739">
        <v>52664.2</v>
      </c>
    </row>
    <row r="740" spans="1:14" x14ac:dyDescent="0.3">
      <c r="A740" t="s">
        <v>780</v>
      </c>
      <c r="B740" s="1">
        <v>45031</v>
      </c>
      <c r="C740" t="s">
        <v>46</v>
      </c>
      <c r="D740" t="s">
        <v>40</v>
      </c>
      <c r="E740" t="s">
        <v>44</v>
      </c>
      <c r="F740" t="s">
        <v>47</v>
      </c>
      <c r="G740">
        <v>4</v>
      </c>
      <c r="H740">
        <v>39763</v>
      </c>
      <c r="I740">
        <v>31810.400000000001</v>
      </c>
      <c r="J740" t="s">
        <v>29</v>
      </c>
      <c r="K740" t="s">
        <v>19</v>
      </c>
      <c r="L740" t="s">
        <v>37</v>
      </c>
      <c r="M740" t="s">
        <v>21</v>
      </c>
      <c r="N740">
        <v>127241.60000000001</v>
      </c>
    </row>
    <row r="741" spans="1:14" x14ac:dyDescent="0.3">
      <c r="A741" t="s">
        <v>781</v>
      </c>
      <c r="B741" s="1">
        <v>45025</v>
      </c>
      <c r="C741" t="s">
        <v>26</v>
      </c>
      <c r="D741" t="s">
        <v>15</v>
      </c>
      <c r="E741" t="s">
        <v>44</v>
      </c>
      <c r="F741" t="s">
        <v>47</v>
      </c>
      <c r="G741">
        <v>1</v>
      </c>
      <c r="H741">
        <v>39952</v>
      </c>
      <c r="I741">
        <v>1997.6000000000001</v>
      </c>
      <c r="J741" t="s">
        <v>50</v>
      </c>
      <c r="K741" t="s">
        <v>41</v>
      </c>
      <c r="L741" t="s">
        <v>23</v>
      </c>
      <c r="M741" t="s">
        <v>33</v>
      </c>
      <c r="N741">
        <v>37954.400000000001</v>
      </c>
    </row>
    <row r="742" spans="1:14" x14ac:dyDescent="0.3">
      <c r="A742" t="s">
        <v>782</v>
      </c>
      <c r="B742" s="1">
        <v>45237</v>
      </c>
      <c r="C742" t="s">
        <v>32</v>
      </c>
      <c r="D742" t="s">
        <v>15</v>
      </c>
      <c r="E742" t="s">
        <v>16</v>
      </c>
      <c r="F742" t="s">
        <v>47</v>
      </c>
      <c r="G742">
        <v>2</v>
      </c>
      <c r="H742">
        <v>29897</v>
      </c>
      <c r="I742">
        <v>2989.7000000000003</v>
      </c>
      <c r="J742" t="s">
        <v>36</v>
      </c>
      <c r="K742" t="s">
        <v>41</v>
      </c>
      <c r="L742" t="s">
        <v>20</v>
      </c>
      <c r="M742" t="s">
        <v>33</v>
      </c>
      <c r="N742">
        <v>56804.299999999901</v>
      </c>
    </row>
    <row r="743" spans="1:14" x14ac:dyDescent="0.3">
      <c r="A743" t="s">
        <v>783</v>
      </c>
      <c r="B743" s="1">
        <v>44932</v>
      </c>
      <c r="C743" t="s">
        <v>26</v>
      </c>
      <c r="D743" t="s">
        <v>43</v>
      </c>
      <c r="E743" t="s">
        <v>16</v>
      </c>
      <c r="F743" t="s">
        <v>35</v>
      </c>
      <c r="G743">
        <v>8</v>
      </c>
      <c r="H743">
        <v>2767</v>
      </c>
      <c r="I743">
        <v>1106.8</v>
      </c>
      <c r="J743" t="s">
        <v>36</v>
      </c>
      <c r="K743" t="s">
        <v>41</v>
      </c>
      <c r="L743" t="s">
        <v>20</v>
      </c>
      <c r="M743" t="s">
        <v>21</v>
      </c>
      <c r="N743">
        <v>21029.200000000001</v>
      </c>
    </row>
    <row r="744" spans="1:14" x14ac:dyDescent="0.3">
      <c r="A744" t="s">
        <v>784</v>
      </c>
      <c r="B744" s="1">
        <v>45123</v>
      </c>
      <c r="C744" t="s">
        <v>26</v>
      </c>
      <c r="D744" t="s">
        <v>15</v>
      </c>
      <c r="E744" t="s">
        <v>27</v>
      </c>
      <c r="F744" t="s">
        <v>17</v>
      </c>
      <c r="G744">
        <v>6</v>
      </c>
      <c r="H744">
        <v>16321</v>
      </c>
      <c r="I744">
        <v>14688.9</v>
      </c>
      <c r="J744" t="s">
        <v>29</v>
      </c>
      <c r="K744" t="s">
        <v>41</v>
      </c>
      <c r="L744" t="s">
        <v>23</v>
      </c>
      <c r="M744" t="s">
        <v>21</v>
      </c>
      <c r="N744">
        <v>83237.099999999904</v>
      </c>
    </row>
    <row r="745" spans="1:14" x14ac:dyDescent="0.3">
      <c r="A745" t="s">
        <v>785</v>
      </c>
      <c r="B745" s="1">
        <v>45277</v>
      </c>
      <c r="C745" t="s">
        <v>26</v>
      </c>
      <c r="D745" t="s">
        <v>43</v>
      </c>
      <c r="E745" t="s">
        <v>16</v>
      </c>
      <c r="F745" t="s">
        <v>28</v>
      </c>
      <c r="G745">
        <v>2</v>
      </c>
      <c r="H745">
        <v>1874</v>
      </c>
      <c r="I745">
        <v>187.4</v>
      </c>
      <c r="J745" t="s">
        <v>36</v>
      </c>
      <c r="K745" t="s">
        <v>30</v>
      </c>
      <c r="L745" t="s">
        <v>23</v>
      </c>
      <c r="M745" t="s">
        <v>24</v>
      </c>
      <c r="N745">
        <v>3560.6</v>
      </c>
    </row>
    <row r="746" spans="1:14" x14ac:dyDescent="0.3">
      <c r="A746" t="s">
        <v>786</v>
      </c>
      <c r="B746" s="1">
        <v>45059</v>
      </c>
      <c r="C746" t="s">
        <v>39</v>
      </c>
      <c r="D746" t="s">
        <v>43</v>
      </c>
      <c r="E746" t="s">
        <v>16</v>
      </c>
      <c r="F746" t="s">
        <v>49</v>
      </c>
      <c r="G746">
        <v>6</v>
      </c>
      <c r="H746">
        <v>11075</v>
      </c>
      <c r="I746">
        <v>0</v>
      </c>
      <c r="J746" t="s">
        <v>36</v>
      </c>
      <c r="K746" t="s">
        <v>41</v>
      </c>
      <c r="L746" t="s">
        <v>37</v>
      </c>
      <c r="M746" t="s">
        <v>24</v>
      </c>
      <c r="N746">
        <v>66450</v>
      </c>
    </row>
    <row r="747" spans="1:14" x14ac:dyDescent="0.3">
      <c r="A747" t="s">
        <v>787</v>
      </c>
      <c r="B747" s="1">
        <v>45284</v>
      </c>
      <c r="C747" t="s">
        <v>26</v>
      </c>
      <c r="D747" t="s">
        <v>15</v>
      </c>
      <c r="E747" t="s">
        <v>44</v>
      </c>
      <c r="F747" t="s">
        <v>47</v>
      </c>
      <c r="G747">
        <v>9</v>
      </c>
      <c r="H747">
        <v>44540</v>
      </c>
      <c r="I747">
        <v>0</v>
      </c>
      <c r="J747" t="s">
        <v>18</v>
      </c>
      <c r="K747" t="s">
        <v>19</v>
      </c>
      <c r="L747" t="s">
        <v>37</v>
      </c>
      <c r="M747" t="s">
        <v>33</v>
      </c>
      <c r="N747">
        <v>400860</v>
      </c>
    </row>
    <row r="748" spans="1:14" x14ac:dyDescent="0.3">
      <c r="A748" t="s">
        <v>788</v>
      </c>
      <c r="B748" s="1">
        <v>45185</v>
      </c>
      <c r="C748" t="s">
        <v>39</v>
      </c>
      <c r="D748" t="s">
        <v>40</v>
      </c>
      <c r="E748" t="s">
        <v>16</v>
      </c>
      <c r="F748" t="s">
        <v>47</v>
      </c>
      <c r="G748">
        <v>7</v>
      </c>
      <c r="H748">
        <v>939</v>
      </c>
      <c r="I748">
        <v>1314.6000000000001</v>
      </c>
      <c r="J748" t="s">
        <v>18</v>
      </c>
      <c r="K748" t="s">
        <v>30</v>
      </c>
      <c r="L748" t="s">
        <v>20</v>
      </c>
      <c r="M748" t="s">
        <v>33</v>
      </c>
      <c r="N748">
        <v>5258.4</v>
      </c>
    </row>
    <row r="749" spans="1:14" x14ac:dyDescent="0.3">
      <c r="A749" t="s">
        <v>789</v>
      </c>
      <c r="B749" s="1">
        <v>44949</v>
      </c>
      <c r="C749" t="s">
        <v>46</v>
      </c>
      <c r="D749" t="s">
        <v>15</v>
      </c>
      <c r="E749" t="s">
        <v>27</v>
      </c>
      <c r="F749" t="s">
        <v>17</v>
      </c>
      <c r="G749">
        <v>9</v>
      </c>
      <c r="H749">
        <v>1745</v>
      </c>
      <c r="I749">
        <v>2355.75</v>
      </c>
      <c r="J749" t="s">
        <v>50</v>
      </c>
      <c r="K749" t="s">
        <v>19</v>
      </c>
      <c r="L749" t="s">
        <v>23</v>
      </c>
      <c r="M749" t="s">
        <v>24</v>
      </c>
      <c r="N749">
        <v>13349.25</v>
      </c>
    </row>
    <row r="750" spans="1:14" x14ac:dyDescent="0.3">
      <c r="A750" t="s">
        <v>790</v>
      </c>
      <c r="B750" s="1">
        <v>44979</v>
      </c>
      <c r="C750" t="s">
        <v>32</v>
      </c>
      <c r="D750" t="s">
        <v>15</v>
      </c>
      <c r="E750" t="s">
        <v>44</v>
      </c>
      <c r="F750" t="s">
        <v>17</v>
      </c>
      <c r="G750">
        <v>5</v>
      </c>
      <c r="H750">
        <v>29340</v>
      </c>
      <c r="I750">
        <v>0</v>
      </c>
      <c r="J750" t="s">
        <v>36</v>
      </c>
      <c r="K750" t="s">
        <v>41</v>
      </c>
      <c r="L750" t="s">
        <v>37</v>
      </c>
      <c r="M750" t="s">
        <v>21</v>
      </c>
      <c r="N750">
        <v>146700</v>
      </c>
    </row>
    <row r="751" spans="1:14" x14ac:dyDescent="0.3">
      <c r="A751" t="s">
        <v>791</v>
      </c>
      <c r="B751" s="1">
        <v>45091</v>
      </c>
      <c r="C751" t="s">
        <v>32</v>
      </c>
      <c r="D751" t="s">
        <v>43</v>
      </c>
      <c r="E751" t="s">
        <v>27</v>
      </c>
      <c r="F751" t="s">
        <v>35</v>
      </c>
      <c r="G751">
        <v>7</v>
      </c>
      <c r="H751">
        <v>9527</v>
      </c>
      <c r="I751">
        <v>10003.35</v>
      </c>
      <c r="J751" t="s">
        <v>50</v>
      </c>
      <c r="K751" t="s">
        <v>30</v>
      </c>
      <c r="L751" t="s">
        <v>20</v>
      </c>
      <c r="M751" t="s">
        <v>24</v>
      </c>
      <c r="N751">
        <v>56685.65</v>
      </c>
    </row>
    <row r="752" spans="1:14" x14ac:dyDescent="0.3">
      <c r="A752" t="s">
        <v>792</v>
      </c>
      <c r="B752" s="1">
        <v>45128</v>
      </c>
      <c r="C752" t="s">
        <v>32</v>
      </c>
      <c r="D752" t="s">
        <v>43</v>
      </c>
      <c r="E752" t="s">
        <v>44</v>
      </c>
      <c r="F752" t="s">
        <v>35</v>
      </c>
      <c r="G752">
        <v>7</v>
      </c>
      <c r="H752">
        <v>5327</v>
      </c>
      <c r="I752">
        <v>5593.3499999999995</v>
      </c>
      <c r="J752" t="s">
        <v>50</v>
      </c>
      <c r="K752" t="s">
        <v>41</v>
      </c>
      <c r="L752" t="s">
        <v>20</v>
      </c>
      <c r="M752" t="s">
        <v>33</v>
      </c>
      <c r="N752">
        <v>31695.6499999999</v>
      </c>
    </row>
    <row r="753" spans="1:14" x14ac:dyDescent="0.3">
      <c r="A753" t="s">
        <v>793</v>
      </c>
      <c r="B753" s="1">
        <v>45009</v>
      </c>
      <c r="C753" t="s">
        <v>32</v>
      </c>
      <c r="D753" t="s">
        <v>43</v>
      </c>
      <c r="E753" t="s">
        <v>16</v>
      </c>
      <c r="F753" t="s">
        <v>47</v>
      </c>
      <c r="G753">
        <v>3</v>
      </c>
      <c r="H753">
        <v>23531</v>
      </c>
      <c r="I753">
        <v>14118.6</v>
      </c>
      <c r="J753" t="s">
        <v>36</v>
      </c>
      <c r="K753" t="s">
        <v>30</v>
      </c>
      <c r="L753" t="s">
        <v>20</v>
      </c>
      <c r="M753" t="s">
        <v>33</v>
      </c>
      <c r="N753">
        <v>56474.400000000001</v>
      </c>
    </row>
    <row r="754" spans="1:14" x14ac:dyDescent="0.3">
      <c r="A754" t="s">
        <v>794</v>
      </c>
      <c r="B754" s="1">
        <v>45071</v>
      </c>
      <c r="C754" t="s">
        <v>32</v>
      </c>
      <c r="D754" t="s">
        <v>43</v>
      </c>
      <c r="E754" t="s">
        <v>44</v>
      </c>
      <c r="F754" t="s">
        <v>17</v>
      </c>
      <c r="G754">
        <v>7</v>
      </c>
      <c r="H754">
        <v>23204</v>
      </c>
      <c r="I754">
        <v>24364.2</v>
      </c>
      <c r="J754" t="s">
        <v>29</v>
      </c>
      <c r="K754" t="s">
        <v>19</v>
      </c>
      <c r="L754" t="s">
        <v>37</v>
      </c>
      <c r="M754" t="s">
        <v>24</v>
      </c>
      <c r="N754">
        <v>138063.79999999999</v>
      </c>
    </row>
    <row r="755" spans="1:14" x14ac:dyDescent="0.3">
      <c r="A755" t="s">
        <v>795</v>
      </c>
      <c r="B755" s="1">
        <v>45011</v>
      </c>
      <c r="C755" t="s">
        <v>32</v>
      </c>
      <c r="D755" t="s">
        <v>40</v>
      </c>
      <c r="E755" t="s">
        <v>44</v>
      </c>
      <c r="F755" t="s">
        <v>28</v>
      </c>
      <c r="G755">
        <v>1</v>
      </c>
      <c r="H755">
        <v>42033</v>
      </c>
      <c r="I755">
        <v>2101.65</v>
      </c>
      <c r="J755" t="s">
        <v>36</v>
      </c>
      <c r="K755" t="s">
        <v>41</v>
      </c>
      <c r="L755" t="s">
        <v>37</v>
      </c>
      <c r="M755" t="s">
        <v>24</v>
      </c>
      <c r="N755">
        <v>39931.35</v>
      </c>
    </row>
    <row r="756" spans="1:14" x14ac:dyDescent="0.3">
      <c r="A756" t="s">
        <v>796</v>
      </c>
      <c r="B756" s="1">
        <v>45004</v>
      </c>
      <c r="C756" t="s">
        <v>32</v>
      </c>
      <c r="D756" t="s">
        <v>40</v>
      </c>
      <c r="E756" t="s">
        <v>16</v>
      </c>
      <c r="F756" t="s">
        <v>49</v>
      </c>
      <c r="G756">
        <v>9</v>
      </c>
      <c r="H756">
        <v>10692</v>
      </c>
      <c r="I756">
        <v>14434.199999999999</v>
      </c>
      <c r="J756" t="s">
        <v>18</v>
      </c>
      <c r="K756" t="s">
        <v>41</v>
      </c>
      <c r="L756" t="s">
        <v>23</v>
      </c>
      <c r="M756" t="s">
        <v>24</v>
      </c>
      <c r="N756">
        <v>81793.8</v>
      </c>
    </row>
    <row r="757" spans="1:14" x14ac:dyDescent="0.3">
      <c r="A757" t="s">
        <v>797</v>
      </c>
      <c r="B757" s="1">
        <v>44927</v>
      </c>
      <c r="C757" t="s">
        <v>46</v>
      </c>
      <c r="D757" t="s">
        <v>40</v>
      </c>
      <c r="E757" t="s">
        <v>16</v>
      </c>
      <c r="F757" t="s">
        <v>17</v>
      </c>
      <c r="G757">
        <v>6</v>
      </c>
      <c r="H757">
        <v>13949</v>
      </c>
      <c r="I757">
        <v>16738.8</v>
      </c>
      <c r="J757" t="s">
        <v>36</v>
      </c>
      <c r="K757" t="s">
        <v>30</v>
      </c>
      <c r="L757" t="s">
        <v>23</v>
      </c>
      <c r="M757" t="s">
        <v>33</v>
      </c>
      <c r="N757">
        <v>66955.199999999997</v>
      </c>
    </row>
    <row r="758" spans="1:14" x14ac:dyDescent="0.3">
      <c r="A758" t="s">
        <v>798</v>
      </c>
      <c r="B758" s="1">
        <v>44977</v>
      </c>
      <c r="C758" t="s">
        <v>26</v>
      </c>
      <c r="D758" t="s">
        <v>43</v>
      </c>
      <c r="E758" t="s">
        <v>27</v>
      </c>
      <c r="F758" t="s">
        <v>17</v>
      </c>
      <c r="G758">
        <v>5</v>
      </c>
      <c r="H758">
        <v>23708</v>
      </c>
      <c r="I758">
        <v>23708</v>
      </c>
      <c r="J758" t="s">
        <v>29</v>
      </c>
      <c r="K758" t="s">
        <v>30</v>
      </c>
      <c r="L758" t="s">
        <v>20</v>
      </c>
      <c r="M758" t="s">
        <v>21</v>
      </c>
      <c r="N758">
        <v>94832</v>
      </c>
    </row>
    <row r="759" spans="1:14" x14ac:dyDescent="0.3">
      <c r="A759" t="s">
        <v>799</v>
      </c>
      <c r="B759" s="1">
        <v>45099</v>
      </c>
      <c r="C759" t="s">
        <v>14</v>
      </c>
      <c r="D759" t="s">
        <v>43</v>
      </c>
      <c r="E759" t="s">
        <v>27</v>
      </c>
      <c r="F759" t="s">
        <v>35</v>
      </c>
      <c r="G759">
        <v>7</v>
      </c>
      <c r="H759">
        <v>9245</v>
      </c>
      <c r="I759">
        <v>12943</v>
      </c>
      <c r="J759" t="s">
        <v>50</v>
      </c>
      <c r="K759" t="s">
        <v>41</v>
      </c>
      <c r="L759" t="s">
        <v>20</v>
      </c>
      <c r="M759" t="s">
        <v>24</v>
      </c>
      <c r="N759">
        <v>51772</v>
      </c>
    </row>
    <row r="760" spans="1:14" x14ac:dyDescent="0.3">
      <c r="A760" t="s">
        <v>800</v>
      </c>
      <c r="B760" s="1">
        <v>45131</v>
      </c>
      <c r="C760" t="s">
        <v>39</v>
      </c>
      <c r="D760" t="s">
        <v>43</v>
      </c>
      <c r="E760" t="s">
        <v>16</v>
      </c>
      <c r="F760" t="s">
        <v>49</v>
      </c>
      <c r="G760">
        <v>5</v>
      </c>
      <c r="H760">
        <v>20316</v>
      </c>
      <c r="I760">
        <v>0</v>
      </c>
      <c r="J760" t="s">
        <v>50</v>
      </c>
      <c r="K760" t="s">
        <v>30</v>
      </c>
      <c r="L760" t="s">
        <v>37</v>
      </c>
      <c r="M760" t="s">
        <v>33</v>
      </c>
      <c r="N760">
        <v>101580</v>
      </c>
    </row>
    <row r="761" spans="1:14" x14ac:dyDescent="0.3">
      <c r="A761" t="s">
        <v>801</v>
      </c>
      <c r="B761" s="1">
        <v>45186</v>
      </c>
      <c r="C761" t="s">
        <v>14</v>
      </c>
      <c r="D761" t="s">
        <v>40</v>
      </c>
      <c r="E761" t="s">
        <v>16</v>
      </c>
      <c r="F761" t="s">
        <v>47</v>
      </c>
      <c r="G761">
        <v>5</v>
      </c>
      <c r="H761">
        <v>18867</v>
      </c>
      <c r="I761">
        <v>4716.75</v>
      </c>
      <c r="J761" t="s">
        <v>18</v>
      </c>
      <c r="K761" t="s">
        <v>41</v>
      </c>
      <c r="L761" t="s">
        <v>37</v>
      </c>
      <c r="M761" t="s">
        <v>33</v>
      </c>
      <c r="N761">
        <v>89618.25</v>
      </c>
    </row>
    <row r="762" spans="1:14" x14ac:dyDescent="0.3">
      <c r="A762" t="s">
        <v>802</v>
      </c>
      <c r="B762" s="1">
        <v>45214</v>
      </c>
      <c r="C762" t="s">
        <v>14</v>
      </c>
      <c r="D762" t="s">
        <v>43</v>
      </c>
      <c r="E762" t="s">
        <v>16</v>
      </c>
      <c r="F762" t="s">
        <v>17</v>
      </c>
      <c r="G762">
        <v>7</v>
      </c>
      <c r="H762">
        <v>9721</v>
      </c>
      <c r="I762">
        <v>0</v>
      </c>
      <c r="J762" t="s">
        <v>18</v>
      </c>
      <c r="K762" t="s">
        <v>30</v>
      </c>
      <c r="L762" t="s">
        <v>23</v>
      </c>
      <c r="M762" t="s">
        <v>33</v>
      </c>
      <c r="N762">
        <v>68047</v>
      </c>
    </row>
    <row r="763" spans="1:14" x14ac:dyDescent="0.3">
      <c r="A763" t="s">
        <v>803</v>
      </c>
      <c r="B763" s="1">
        <v>44960</v>
      </c>
      <c r="C763" t="s">
        <v>26</v>
      </c>
      <c r="D763" t="s">
        <v>15</v>
      </c>
      <c r="E763" t="s">
        <v>44</v>
      </c>
      <c r="F763" t="s">
        <v>47</v>
      </c>
      <c r="G763">
        <v>7</v>
      </c>
      <c r="H763">
        <v>8869</v>
      </c>
      <c r="I763">
        <v>6208.3</v>
      </c>
      <c r="J763" t="s">
        <v>18</v>
      </c>
      <c r="K763" t="s">
        <v>19</v>
      </c>
      <c r="L763" t="s">
        <v>23</v>
      </c>
      <c r="M763" t="s">
        <v>24</v>
      </c>
      <c r="N763">
        <v>55874.7</v>
      </c>
    </row>
    <row r="764" spans="1:14" x14ac:dyDescent="0.3">
      <c r="A764" t="s">
        <v>804</v>
      </c>
      <c r="B764" s="1">
        <v>45274</v>
      </c>
      <c r="C764" t="s">
        <v>26</v>
      </c>
      <c r="D764" t="s">
        <v>15</v>
      </c>
      <c r="E764" t="s">
        <v>44</v>
      </c>
      <c r="F764" t="s">
        <v>17</v>
      </c>
      <c r="G764">
        <v>3</v>
      </c>
      <c r="H764">
        <v>27502</v>
      </c>
      <c r="I764">
        <v>4125.3</v>
      </c>
      <c r="J764" t="s">
        <v>50</v>
      </c>
      <c r="K764" t="s">
        <v>30</v>
      </c>
      <c r="L764" t="s">
        <v>23</v>
      </c>
      <c r="M764" t="s">
        <v>24</v>
      </c>
      <c r="N764">
        <v>78380.7</v>
      </c>
    </row>
    <row r="765" spans="1:14" x14ac:dyDescent="0.3">
      <c r="A765" t="s">
        <v>805</v>
      </c>
      <c r="B765" s="1">
        <v>45021</v>
      </c>
      <c r="C765" t="s">
        <v>26</v>
      </c>
      <c r="D765" t="s">
        <v>43</v>
      </c>
      <c r="E765" t="s">
        <v>44</v>
      </c>
      <c r="F765" t="s">
        <v>47</v>
      </c>
      <c r="G765">
        <v>3</v>
      </c>
      <c r="H765">
        <v>11483</v>
      </c>
      <c r="I765">
        <v>5167.3499999999995</v>
      </c>
      <c r="J765" t="s">
        <v>18</v>
      </c>
      <c r="K765" t="s">
        <v>19</v>
      </c>
      <c r="L765" t="s">
        <v>37</v>
      </c>
      <c r="M765" t="s">
        <v>21</v>
      </c>
      <c r="N765">
        <v>29281.6499999999</v>
      </c>
    </row>
    <row r="766" spans="1:14" x14ac:dyDescent="0.3">
      <c r="A766" t="s">
        <v>806</v>
      </c>
      <c r="B766" s="1">
        <v>44998</v>
      </c>
      <c r="C766" t="s">
        <v>32</v>
      </c>
      <c r="D766" t="s">
        <v>15</v>
      </c>
      <c r="E766" t="s">
        <v>16</v>
      </c>
      <c r="F766" t="s">
        <v>49</v>
      </c>
      <c r="G766">
        <v>3</v>
      </c>
      <c r="H766">
        <v>31135</v>
      </c>
      <c r="I766">
        <v>18681</v>
      </c>
      <c r="J766" t="s">
        <v>36</v>
      </c>
      <c r="K766" t="s">
        <v>30</v>
      </c>
      <c r="L766" t="s">
        <v>20</v>
      </c>
      <c r="M766" t="s">
        <v>33</v>
      </c>
      <c r="N766">
        <v>74724</v>
      </c>
    </row>
    <row r="767" spans="1:14" x14ac:dyDescent="0.3">
      <c r="A767" t="s">
        <v>807</v>
      </c>
      <c r="B767" s="1">
        <v>44965</v>
      </c>
      <c r="C767" t="s">
        <v>46</v>
      </c>
      <c r="D767" t="s">
        <v>15</v>
      </c>
      <c r="E767" t="s">
        <v>27</v>
      </c>
      <c r="F767" t="s">
        <v>35</v>
      </c>
      <c r="G767">
        <v>6</v>
      </c>
      <c r="H767">
        <v>7198</v>
      </c>
      <c r="I767">
        <v>4318.8</v>
      </c>
      <c r="J767" t="s">
        <v>50</v>
      </c>
      <c r="K767" t="s">
        <v>30</v>
      </c>
      <c r="L767" t="s">
        <v>23</v>
      </c>
      <c r="M767" t="s">
        <v>24</v>
      </c>
      <c r="N767">
        <v>38869.199999999997</v>
      </c>
    </row>
    <row r="768" spans="1:14" x14ac:dyDescent="0.3">
      <c r="A768" t="s">
        <v>808</v>
      </c>
      <c r="B768" s="1">
        <v>45080</v>
      </c>
      <c r="C768" t="s">
        <v>32</v>
      </c>
      <c r="D768" t="s">
        <v>40</v>
      </c>
      <c r="E768" t="s">
        <v>16</v>
      </c>
      <c r="F768" t="s">
        <v>49</v>
      </c>
      <c r="G768">
        <v>6</v>
      </c>
      <c r="H768">
        <v>29006</v>
      </c>
      <c r="I768">
        <v>8701.8000000000011</v>
      </c>
      <c r="J768" t="s">
        <v>29</v>
      </c>
      <c r="K768" t="s">
        <v>41</v>
      </c>
      <c r="L768" t="s">
        <v>23</v>
      </c>
      <c r="M768" t="s">
        <v>33</v>
      </c>
      <c r="N768">
        <v>165334.19999999899</v>
      </c>
    </row>
    <row r="769" spans="1:14" x14ac:dyDescent="0.3">
      <c r="A769" t="s">
        <v>809</v>
      </c>
      <c r="B769" s="1">
        <v>45176</v>
      </c>
      <c r="C769" t="s">
        <v>46</v>
      </c>
      <c r="D769" t="s">
        <v>43</v>
      </c>
      <c r="E769" t="s">
        <v>44</v>
      </c>
      <c r="F769" t="s">
        <v>28</v>
      </c>
      <c r="G769">
        <v>3</v>
      </c>
      <c r="H769">
        <v>31824</v>
      </c>
      <c r="I769">
        <v>0</v>
      </c>
      <c r="J769" t="s">
        <v>50</v>
      </c>
      <c r="K769" t="s">
        <v>30</v>
      </c>
      <c r="L769" t="s">
        <v>37</v>
      </c>
      <c r="M769" t="s">
        <v>33</v>
      </c>
      <c r="N769">
        <v>95472</v>
      </c>
    </row>
    <row r="770" spans="1:14" x14ac:dyDescent="0.3">
      <c r="A770" t="s">
        <v>810</v>
      </c>
      <c r="B770" s="1">
        <v>45088</v>
      </c>
      <c r="C770" t="s">
        <v>46</v>
      </c>
      <c r="D770" t="s">
        <v>43</v>
      </c>
      <c r="E770" t="s">
        <v>44</v>
      </c>
      <c r="F770" t="s">
        <v>35</v>
      </c>
      <c r="G770">
        <v>3</v>
      </c>
      <c r="H770">
        <v>13640</v>
      </c>
      <c r="I770">
        <v>8184</v>
      </c>
      <c r="J770" t="s">
        <v>36</v>
      </c>
      <c r="K770" t="s">
        <v>30</v>
      </c>
      <c r="L770" t="s">
        <v>23</v>
      </c>
      <c r="M770" t="s">
        <v>21</v>
      </c>
      <c r="N770">
        <v>32736</v>
      </c>
    </row>
    <row r="771" spans="1:14" x14ac:dyDescent="0.3">
      <c r="A771" t="s">
        <v>811</v>
      </c>
      <c r="B771" s="1">
        <v>45044</v>
      </c>
      <c r="C771" t="s">
        <v>14</v>
      </c>
      <c r="D771" t="s">
        <v>40</v>
      </c>
      <c r="E771" t="s">
        <v>16</v>
      </c>
      <c r="F771" t="s">
        <v>49</v>
      </c>
      <c r="G771">
        <v>8</v>
      </c>
      <c r="H771">
        <v>45665</v>
      </c>
      <c r="I771">
        <v>0</v>
      </c>
      <c r="J771" t="s">
        <v>36</v>
      </c>
      <c r="K771" t="s">
        <v>19</v>
      </c>
      <c r="L771" t="s">
        <v>20</v>
      </c>
      <c r="M771" t="s">
        <v>24</v>
      </c>
      <c r="N771">
        <v>365320</v>
      </c>
    </row>
    <row r="772" spans="1:14" x14ac:dyDescent="0.3">
      <c r="A772" t="s">
        <v>812</v>
      </c>
      <c r="B772" s="1">
        <v>45185</v>
      </c>
      <c r="C772" t="s">
        <v>14</v>
      </c>
      <c r="D772" t="s">
        <v>15</v>
      </c>
      <c r="E772" t="s">
        <v>16</v>
      </c>
      <c r="F772" t="s">
        <v>28</v>
      </c>
      <c r="G772">
        <v>8</v>
      </c>
      <c r="H772">
        <v>46701</v>
      </c>
      <c r="I772">
        <v>18680.400000000001</v>
      </c>
      <c r="J772" t="s">
        <v>18</v>
      </c>
      <c r="K772" t="s">
        <v>30</v>
      </c>
      <c r="L772" t="s">
        <v>37</v>
      </c>
      <c r="M772" t="s">
        <v>24</v>
      </c>
      <c r="N772">
        <v>354927.6</v>
      </c>
    </row>
    <row r="773" spans="1:14" x14ac:dyDescent="0.3">
      <c r="A773" t="s">
        <v>813</v>
      </c>
      <c r="B773" s="1">
        <v>45232</v>
      </c>
      <c r="C773" t="s">
        <v>46</v>
      </c>
      <c r="D773" t="s">
        <v>15</v>
      </c>
      <c r="E773" t="s">
        <v>44</v>
      </c>
      <c r="F773" t="s">
        <v>17</v>
      </c>
      <c r="G773">
        <v>7</v>
      </c>
      <c r="H773">
        <v>21997</v>
      </c>
      <c r="I773">
        <v>7698.9500000000007</v>
      </c>
      <c r="J773" t="s">
        <v>50</v>
      </c>
      <c r="K773" t="s">
        <v>41</v>
      </c>
      <c r="L773" t="s">
        <v>23</v>
      </c>
      <c r="M773" t="s">
        <v>33</v>
      </c>
      <c r="N773">
        <v>146280.04999999999</v>
      </c>
    </row>
    <row r="774" spans="1:14" x14ac:dyDescent="0.3">
      <c r="A774" t="s">
        <v>814</v>
      </c>
      <c r="B774" s="1">
        <v>45194</v>
      </c>
      <c r="C774" t="s">
        <v>46</v>
      </c>
      <c r="D774" t="s">
        <v>43</v>
      </c>
      <c r="E774" t="s">
        <v>44</v>
      </c>
      <c r="F774" t="s">
        <v>17</v>
      </c>
      <c r="G774">
        <v>4</v>
      </c>
      <c r="H774">
        <v>1469</v>
      </c>
      <c r="I774">
        <v>587.6</v>
      </c>
      <c r="J774" t="s">
        <v>50</v>
      </c>
      <c r="K774" t="s">
        <v>19</v>
      </c>
      <c r="L774" t="s">
        <v>23</v>
      </c>
      <c r="M774" t="s">
        <v>33</v>
      </c>
      <c r="N774">
        <v>5288.4</v>
      </c>
    </row>
    <row r="775" spans="1:14" x14ac:dyDescent="0.3">
      <c r="A775" t="s">
        <v>815</v>
      </c>
      <c r="B775" s="1">
        <v>44980</v>
      </c>
      <c r="C775" t="s">
        <v>32</v>
      </c>
      <c r="D775" t="s">
        <v>15</v>
      </c>
      <c r="E775" t="s">
        <v>44</v>
      </c>
      <c r="F775" t="s">
        <v>47</v>
      </c>
      <c r="G775">
        <v>4</v>
      </c>
      <c r="H775">
        <v>8068</v>
      </c>
      <c r="I775">
        <v>4840.8</v>
      </c>
      <c r="J775" t="s">
        <v>50</v>
      </c>
      <c r="K775" t="s">
        <v>41</v>
      </c>
      <c r="L775" t="s">
        <v>37</v>
      </c>
      <c r="M775" t="s">
        <v>21</v>
      </c>
      <c r="N775">
        <v>27431.200000000001</v>
      </c>
    </row>
    <row r="776" spans="1:14" x14ac:dyDescent="0.3">
      <c r="A776" t="s">
        <v>816</v>
      </c>
      <c r="B776" s="1">
        <v>45162</v>
      </c>
      <c r="C776" t="s">
        <v>32</v>
      </c>
      <c r="D776" t="s">
        <v>40</v>
      </c>
      <c r="E776" t="s">
        <v>16</v>
      </c>
      <c r="F776" t="s">
        <v>35</v>
      </c>
      <c r="G776">
        <v>3</v>
      </c>
      <c r="H776">
        <v>30451</v>
      </c>
      <c r="I776">
        <v>0</v>
      </c>
      <c r="J776" t="s">
        <v>29</v>
      </c>
      <c r="K776" t="s">
        <v>41</v>
      </c>
      <c r="L776" t="s">
        <v>37</v>
      </c>
      <c r="M776" t="s">
        <v>21</v>
      </c>
      <c r="N776">
        <v>91353</v>
      </c>
    </row>
    <row r="777" spans="1:14" x14ac:dyDescent="0.3">
      <c r="A777" t="s">
        <v>817</v>
      </c>
      <c r="B777" s="1">
        <v>45148</v>
      </c>
      <c r="C777" t="s">
        <v>14</v>
      </c>
      <c r="D777" t="s">
        <v>40</v>
      </c>
      <c r="E777" t="s">
        <v>44</v>
      </c>
      <c r="F777" t="s">
        <v>17</v>
      </c>
      <c r="G777">
        <v>5</v>
      </c>
      <c r="H777">
        <v>12573</v>
      </c>
      <c r="I777">
        <v>6286.5</v>
      </c>
      <c r="J777" t="s">
        <v>18</v>
      </c>
      <c r="K777" t="s">
        <v>41</v>
      </c>
      <c r="L777" t="s">
        <v>23</v>
      </c>
      <c r="M777" t="s">
        <v>21</v>
      </c>
      <c r="N777">
        <v>56578.5</v>
      </c>
    </row>
    <row r="778" spans="1:14" x14ac:dyDescent="0.3">
      <c r="A778" t="s">
        <v>818</v>
      </c>
      <c r="B778" s="1">
        <v>45177</v>
      </c>
      <c r="C778" t="s">
        <v>26</v>
      </c>
      <c r="D778" t="s">
        <v>43</v>
      </c>
      <c r="E778" t="s">
        <v>44</v>
      </c>
      <c r="F778" t="s">
        <v>35</v>
      </c>
      <c r="G778">
        <v>3</v>
      </c>
      <c r="H778">
        <v>19187</v>
      </c>
      <c r="I778">
        <v>11512.2</v>
      </c>
      <c r="J778" t="s">
        <v>36</v>
      </c>
      <c r="K778" t="s">
        <v>41</v>
      </c>
      <c r="L778" t="s">
        <v>20</v>
      </c>
      <c r="M778" t="s">
        <v>21</v>
      </c>
      <c r="N778">
        <v>46048.800000000003</v>
      </c>
    </row>
    <row r="779" spans="1:14" x14ac:dyDescent="0.3">
      <c r="A779" t="s">
        <v>819</v>
      </c>
      <c r="B779" s="1">
        <v>45239</v>
      </c>
      <c r="C779" t="s">
        <v>46</v>
      </c>
      <c r="D779" t="s">
        <v>40</v>
      </c>
      <c r="E779" t="s">
        <v>27</v>
      </c>
      <c r="F779" t="s">
        <v>17</v>
      </c>
      <c r="G779">
        <v>8</v>
      </c>
      <c r="H779">
        <v>38929</v>
      </c>
      <c r="I779">
        <v>46714.799999999996</v>
      </c>
      <c r="J779" t="s">
        <v>36</v>
      </c>
      <c r="K779" t="s">
        <v>19</v>
      </c>
      <c r="L779" t="s">
        <v>37</v>
      </c>
      <c r="M779" t="s">
        <v>21</v>
      </c>
      <c r="N779">
        <v>264717.2</v>
      </c>
    </row>
    <row r="780" spans="1:14" x14ac:dyDescent="0.3">
      <c r="A780" t="s">
        <v>820</v>
      </c>
      <c r="B780" s="1">
        <v>45038</v>
      </c>
      <c r="C780" t="s">
        <v>32</v>
      </c>
      <c r="D780" t="s">
        <v>40</v>
      </c>
      <c r="E780" t="s">
        <v>16</v>
      </c>
      <c r="F780" t="s">
        <v>47</v>
      </c>
      <c r="G780">
        <v>7</v>
      </c>
      <c r="H780">
        <v>15934</v>
      </c>
      <c r="I780">
        <v>11153.800000000001</v>
      </c>
      <c r="J780" t="s">
        <v>18</v>
      </c>
      <c r="K780" t="s">
        <v>30</v>
      </c>
      <c r="L780" t="s">
        <v>20</v>
      </c>
      <c r="M780" t="s">
        <v>21</v>
      </c>
      <c r="N780">
        <v>100384.2</v>
      </c>
    </row>
    <row r="781" spans="1:14" x14ac:dyDescent="0.3">
      <c r="A781" t="s">
        <v>821</v>
      </c>
      <c r="B781" s="1">
        <v>45181</v>
      </c>
      <c r="C781" t="s">
        <v>14</v>
      </c>
      <c r="D781" t="s">
        <v>43</v>
      </c>
      <c r="E781" t="s">
        <v>27</v>
      </c>
      <c r="F781" t="s">
        <v>49</v>
      </c>
      <c r="G781">
        <v>3</v>
      </c>
      <c r="H781">
        <v>42629</v>
      </c>
      <c r="I781">
        <v>0</v>
      </c>
      <c r="J781" t="s">
        <v>36</v>
      </c>
      <c r="K781" t="s">
        <v>41</v>
      </c>
      <c r="L781" t="s">
        <v>23</v>
      </c>
      <c r="M781" t="s">
        <v>33</v>
      </c>
      <c r="N781">
        <v>127887</v>
      </c>
    </row>
    <row r="782" spans="1:14" x14ac:dyDescent="0.3">
      <c r="A782" t="s">
        <v>822</v>
      </c>
      <c r="B782" s="1">
        <v>45229</v>
      </c>
      <c r="C782" t="s">
        <v>32</v>
      </c>
      <c r="D782" t="s">
        <v>40</v>
      </c>
      <c r="E782" t="s">
        <v>27</v>
      </c>
      <c r="F782" t="s">
        <v>47</v>
      </c>
      <c r="G782">
        <v>9</v>
      </c>
      <c r="H782">
        <v>41537</v>
      </c>
      <c r="I782">
        <v>18691.650000000001</v>
      </c>
      <c r="J782" t="s">
        <v>36</v>
      </c>
      <c r="K782" t="s">
        <v>19</v>
      </c>
      <c r="L782" t="s">
        <v>20</v>
      </c>
      <c r="M782" t="s">
        <v>21</v>
      </c>
      <c r="N782">
        <v>355141.35</v>
      </c>
    </row>
    <row r="783" spans="1:14" x14ac:dyDescent="0.3">
      <c r="A783" t="s">
        <v>823</v>
      </c>
      <c r="B783" s="1">
        <v>45133</v>
      </c>
      <c r="C783" t="s">
        <v>46</v>
      </c>
      <c r="D783" t="s">
        <v>40</v>
      </c>
      <c r="E783" t="s">
        <v>44</v>
      </c>
      <c r="F783" t="s">
        <v>28</v>
      </c>
      <c r="G783">
        <v>5</v>
      </c>
      <c r="H783">
        <v>40525</v>
      </c>
      <c r="I783">
        <v>40525</v>
      </c>
      <c r="J783" t="s">
        <v>18</v>
      </c>
      <c r="K783" t="s">
        <v>41</v>
      </c>
      <c r="L783" t="s">
        <v>23</v>
      </c>
      <c r="M783" t="s">
        <v>33</v>
      </c>
      <c r="N783">
        <v>162100</v>
      </c>
    </row>
    <row r="784" spans="1:14" x14ac:dyDescent="0.3">
      <c r="A784" t="s">
        <v>824</v>
      </c>
      <c r="B784" s="1">
        <v>45155</v>
      </c>
      <c r="C784" t="s">
        <v>46</v>
      </c>
      <c r="D784" t="s">
        <v>40</v>
      </c>
      <c r="E784" t="s">
        <v>16</v>
      </c>
      <c r="F784" t="s">
        <v>17</v>
      </c>
      <c r="G784">
        <v>9</v>
      </c>
      <c r="H784">
        <v>18264</v>
      </c>
      <c r="I784">
        <v>0</v>
      </c>
      <c r="J784" t="s">
        <v>36</v>
      </c>
      <c r="K784" t="s">
        <v>30</v>
      </c>
      <c r="L784" t="s">
        <v>23</v>
      </c>
      <c r="M784" t="s">
        <v>33</v>
      </c>
      <c r="N784">
        <v>164376</v>
      </c>
    </row>
    <row r="785" spans="1:14" x14ac:dyDescent="0.3">
      <c r="A785" t="s">
        <v>825</v>
      </c>
      <c r="B785" s="1">
        <v>45267</v>
      </c>
      <c r="C785" t="s">
        <v>39</v>
      </c>
      <c r="D785" t="s">
        <v>15</v>
      </c>
      <c r="E785" t="s">
        <v>44</v>
      </c>
      <c r="F785" t="s">
        <v>28</v>
      </c>
      <c r="G785">
        <v>7</v>
      </c>
      <c r="H785">
        <v>8633</v>
      </c>
      <c r="I785">
        <v>9064.65</v>
      </c>
      <c r="J785" t="s">
        <v>50</v>
      </c>
      <c r="K785" t="s">
        <v>19</v>
      </c>
      <c r="L785" t="s">
        <v>23</v>
      </c>
      <c r="M785" t="s">
        <v>24</v>
      </c>
      <c r="N785">
        <v>51366.35</v>
      </c>
    </row>
    <row r="786" spans="1:14" x14ac:dyDescent="0.3">
      <c r="A786" t="s">
        <v>826</v>
      </c>
      <c r="B786" s="1">
        <v>44992</v>
      </c>
      <c r="C786" t="s">
        <v>26</v>
      </c>
      <c r="D786" t="s">
        <v>43</v>
      </c>
      <c r="E786" t="s">
        <v>16</v>
      </c>
      <c r="F786" t="s">
        <v>28</v>
      </c>
      <c r="G786">
        <v>7</v>
      </c>
      <c r="H786">
        <v>48621</v>
      </c>
      <c r="I786">
        <v>51052.049999999996</v>
      </c>
      <c r="J786" t="s">
        <v>29</v>
      </c>
      <c r="K786" t="s">
        <v>19</v>
      </c>
      <c r="L786" t="s">
        <v>23</v>
      </c>
      <c r="M786" t="s">
        <v>33</v>
      </c>
      <c r="N786">
        <v>289294.95</v>
      </c>
    </row>
    <row r="787" spans="1:14" x14ac:dyDescent="0.3">
      <c r="A787" t="s">
        <v>827</v>
      </c>
      <c r="B787" s="1">
        <v>45001</v>
      </c>
      <c r="C787" t="s">
        <v>39</v>
      </c>
      <c r="D787" t="s">
        <v>43</v>
      </c>
      <c r="E787" t="s">
        <v>27</v>
      </c>
      <c r="F787" t="s">
        <v>35</v>
      </c>
      <c r="G787">
        <v>6</v>
      </c>
      <c r="H787">
        <v>9311</v>
      </c>
      <c r="I787">
        <v>2793.3</v>
      </c>
      <c r="J787" t="s">
        <v>18</v>
      </c>
      <c r="K787" t="s">
        <v>30</v>
      </c>
      <c r="L787" t="s">
        <v>20</v>
      </c>
      <c r="M787" t="s">
        <v>33</v>
      </c>
      <c r="N787">
        <v>53072.7</v>
      </c>
    </row>
    <row r="788" spans="1:14" x14ac:dyDescent="0.3">
      <c r="A788" t="s">
        <v>828</v>
      </c>
      <c r="B788" s="1">
        <v>45029</v>
      </c>
      <c r="C788" t="s">
        <v>14</v>
      </c>
      <c r="D788" t="s">
        <v>43</v>
      </c>
      <c r="E788" t="s">
        <v>16</v>
      </c>
      <c r="F788" t="s">
        <v>17</v>
      </c>
      <c r="G788">
        <v>2</v>
      </c>
      <c r="H788">
        <v>38650</v>
      </c>
      <c r="I788">
        <v>3865</v>
      </c>
      <c r="J788" t="s">
        <v>29</v>
      </c>
      <c r="K788" t="s">
        <v>19</v>
      </c>
      <c r="L788" t="s">
        <v>23</v>
      </c>
      <c r="M788" t="s">
        <v>21</v>
      </c>
      <c r="N788">
        <v>73435</v>
      </c>
    </row>
    <row r="789" spans="1:14" x14ac:dyDescent="0.3">
      <c r="A789" t="s">
        <v>829</v>
      </c>
      <c r="B789" s="1">
        <v>45118</v>
      </c>
      <c r="C789" t="s">
        <v>32</v>
      </c>
      <c r="D789" t="s">
        <v>15</v>
      </c>
      <c r="E789" t="s">
        <v>44</v>
      </c>
      <c r="F789" t="s">
        <v>28</v>
      </c>
      <c r="G789">
        <v>9</v>
      </c>
      <c r="H789">
        <v>48447</v>
      </c>
      <c r="I789">
        <v>87204.6</v>
      </c>
      <c r="J789" t="s">
        <v>36</v>
      </c>
      <c r="K789" t="s">
        <v>30</v>
      </c>
      <c r="L789" t="s">
        <v>23</v>
      </c>
      <c r="M789" t="s">
        <v>33</v>
      </c>
      <c r="N789">
        <v>348818.4</v>
      </c>
    </row>
    <row r="790" spans="1:14" x14ac:dyDescent="0.3">
      <c r="A790" t="s">
        <v>830</v>
      </c>
      <c r="B790" s="1">
        <v>45178</v>
      </c>
      <c r="C790" t="s">
        <v>14</v>
      </c>
      <c r="D790" t="s">
        <v>15</v>
      </c>
      <c r="E790" t="s">
        <v>44</v>
      </c>
      <c r="F790" t="s">
        <v>49</v>
      </c>
      <c r="G790">
        <v>6</v>
      </c>
      <c r="H790">
        <v>15247</v>
      </c>
      <c r="I790">
        <v>18296.400000000001</v>
      </c>
      <c r="J790" t="s">
        <v>36</v>
      </c>
      <c r="K790" t="s">
        <v>19</v>
      </c>
      <c r="L790" t="s">
        <v>20</v>
      </c>
      <c r="M790" t="s">
        <v>21</v>
      </c>
      <c r="N790">
        <v>73185.600000000006</v>
      </c>
    </row>
    <row r="791" spans="1:14" x14ac:dyDescent="0.3">
      <c r="A791" t="s">
        <v>831</v>
      </c>
      <c r="B791" s="1">
        <v>45152</v>
      </c>
      <c r="C791" t="s">
        <v>46</v>
      </c>
      <c r="D791" t="s">
        <v>43</v>
      </c>
      <c r="E791" t="s">
        <v>44</v>
      </c>
      <c r="F791" t="s">
        <v>28</v>
      </c>
      <c r="G791">
        <v>8</v>
      </c>
      <c r="H791">
        <v>8284</v>
      </c>
      <c r="I791">
        <v>3313.6000000000004</v>
      </c>
      <c r="J791" t="s">
        <v>50</v>
      </c>
      <c r="K791" t="s">
        <v>19</v>
      </c>
      <c r="L791" t="s">
        <v>37</v>
      </c>
      <c r="M791" t="s">
        <v>21</v>
      </c>
      <c r="N791">
        <v>62958.3999999999</v>
      </c>
    </row>
    <row r="792" spans="1:14" x14ac:dyDescent="0.3">
      <c r="A792" t="s">
        <v>832</v>
      </c>
      <c r="B792" s="1">
        <v>45220</v>
      </c>
      <c r="C792" t="s">
        <v>39</v>
      </c>
      <c r="D792" t="s">
        <v>15</v>
      </c>
      <c r="E792" t="s">
        <v>16</v>
      </c>
      <c r="F792" t="s">
        <v>49</v>
      </c>
      <c r="G792">
        <v>1</v>
      </c>
      <c r="H792">
        <v>21951</v>
      </c>
      <c r="I792">
        <v>1097.55</v>
      </c>
      <c r="J792" t="s">
        <v>18</v>
      </c>
      <c r="K792" t="s">
        <v>30</v>
      </c>
      <c r="L792" t="s">
        <v>20</v>
      </c>
      <c r="M792" t="s">
        <v>21</v>
      </c>
      <c r="N792">
        <v>20853.45</v>
      </c>
    </row>
    <row r="793" spans="1:14" x14ac:dyDescent="0.3">
      <c r="A793" t="s">
        <v>833</v>
      </c>
      <c r="B793" s="1">
        <v>45232</v>
      </c>
      <c r="C793" t="s">
        <v>39</v>
      </c>
      <c r="D793" t="s">
        <v>43</v>
      </c>
      <c r="E793" t="s">
        <v>27</v>
      </c>
      <c r="F793" t="s">
        <v>35</v>
      </c>
      <c r="G793">
        <v>5</v>
      </c>
      <c r="H793">
        <v>16653</v>
      </c>
      <c r="I793">
        <v>12489.75</v>
      </c>
      <c r="J793" t="s">
        <v>36</v>
      </c>
      <c r="K793" t="s">
        <v>30</v>
      </c>
      <c r="L793" t="s">
        <v>20</v>
      </c>
      <c r="M793" t="s">
        <v>24</v>
      </c>
      <c r="N793">
        <v>70775.25</v>
      </c>
    </row>
    <row r="794" spans="1:14" x14ac:dyDescent="0.3">
      <c r="A794" t="s">
        <v>834</v>
      </c>
      <c r="B794" s="1">
        <v>45024</v>
      </c>
      <c r="C794" t="s">
        <v>39</v>
      </c>
      <c r="D794" t="s">
        <v>15</v>
      </c>
      <c r="E794" t="s">
        <v>27</v>
      </c>
      <c r="F794" t="s">
        <v>28</v>
      </c>
      <c r="G794">
        <v>1</v>
      </c>
      <c r="H794">
        <v>20508</v>
      </c>
      <c r="I794">
        <v>1025.4000000000001</v>
      </c>
      <c r="J794" t="s">
        <v>18</v>
      </c>
      <c r="K794" t="s">
        <v>19</v>
      </c>
      <c r="L794" t="s">
        <v>20</v>
      </c>
      <c r="M794" t="s">
        <v>21</v>
      </c>
      <c r="N794">
        <v>19482.599999999999</v>
      </c>
    </row>
    <row r="795" spans="1:14" x14ac:dyDescent="0.3">
      <c r="A795" t="s">
        <v>835</v>
      </c>
      <c r="B795" s="1">
        <v>45264</v>
      </c>
      <c r="C795" t="s">
        <v>14</v>
      </c>
      <c r="D795" t="s">
        <v>40</v>
      </c>
      <c r="E795" t="s">
        <v>16</v>
      </c>
      <c r="F795" t="s">
        <v>47</v>
      </c>
      <c r="G795">
        <v>8</v>
      </c>
      <c r="H795">
        <v>39168</v>
      </c>
      <c r="I795">
        <v>31334.400000000001</v>
      </c>
      <c r="J795" t="s">
        <v>18</v>
      </c>
      <c r="K795" t="s">
        <v>19</v>
      </c>
      <c r="L795" t="s">
        <v>23</v>
      </c>
      <c r="M795" t="s">
        <v>33</v>
      </c>
      <c r="N795">
        <v>282009.59999999998</v>
      </c>
    </row>
    <row r="796" spans="1:14" x14ac:dyDescent="0.3">
      <c r="A796" t="s">
        <v>836</v>
      </c>
      <c r="B796" s="1">
        <v>45212</v>
      </c>
      <c r="C796" t="s">
        <v>46</v>
      </c>
      <c r="D796" t="s">
        <v>40</v>
      </c>
      <c r="E796" t="s">
        <v>44</v>
      </c>
      <c r="F796" t="s">
        <v>35</v>
      </c>
      <c r="G796">
        <v>8</v>
      </c>
      <c r="H796">
        <v>30277</v>
      </c>
      <c r="I796">
        <v>0</v>
      </c>
      <c r="J796" t="s">
        <v>18</v>
      </c>
      <c r="K796" t="s">
        <v>30</v>
      </c>
      <c r="L796" t="s">
        <v>23</v>
      </c>
      <c r="M796" t="s">
        <v>21</v>
      </c>
      <c r="N796">
        <v>242216</v>
      </c>
    </row>
    <row r="797" spans="1:14" x14ac:dyDescent="0.3">
      <c r="A797" t="s">
        <v>837</v>
      </c>
      <c r="B797" s="1">
        <v>45261</v>
      </c>
      <c r="C797" t="s">
        <v>32</v>
      </c>
      <c r="D797" t="s">
        <v>43</v>
      </c>
      <c r="E797" t="s">
        <v>27</v>
      </c>
      <c r="F797" t="s">
        <v>49</v>
      </c>
      <c r="G797">
        <v>1</v>
      </c>
      <c r="H797">
        <v>43246</v>
      </c>
      <c r="I797">
        <v>2162.3000000000002</v>
      </c>
      <c r="J797" t="s">
        <v>18</v>
      </c>
      <c r="K797" t="s">
        <v>30</v>
      </c>
      <c r="L797" t="s">
        <v>23</v>
      </c>
      <c r="M797" t="s">
        <v>21</v>
      </c>
      <c r="N797">
        <v>41083.699999999997</v>
      </c>
    </row>
    <row r="798" spans="1:14" x14ac:dyDescent="0.3">
      <c r="A798" t="s">
        <v>838</v>
      </c>
      <c r="B798" s="1">
        <v>45273</v>
      </c>
      <c r="C798" t="s">
        <v>32</v>
      </c>
      <c r="D798" t="s">
        <v>15</v>
      </c>
      <c r="E798" t="s">
        <v>44</v>
      </c>
      <c r="F798" t="s">
        <v>35</v>
      </c>
      <c r="G798">
        <v>9</v>
      </c>
      <c r="H798">
        <v>34975</v>
      </c>
      <c r="I798">
        <v>62955</v>
      </c>
      <c r="J798" t="s">
        <v>18</v>
      </c>
      <c r="K798" t="s">
        <v>19</v>
      </c>
      <c r="L798" t="s">
        <v>37</v>
      </c>
      <c r="M798" t="s">
        <v>21</v>
      </c>
      <c r="N798">
        <v>251820</v>
      </c>
    </row>
    <row r="799" spans="1:14" x14ac:dyDescent="0.3">
      <c r="A799" t="s">
        <v>839</v>
      </c>
      <c r="B799" s="1">
        <v>45234</v>
      </c>
      <c r="C799" t="s">
        <v>14</v>
      </c>
      <c r="D799" t="s">
        <v>15</v>
      </c>
      <c r="E799" t="s">
        <v>16</v>
      </c>
      <c r="F799" t="s">
        <v>28</v>
      </c>
      <c r="G799">
        <v>2</v>
      </c>
      <c r="H799">
        <v>48770</v>
      </c>
      <c r="I799">
        <v>9754</v>
      </c>
      <c r="J799" t="s">
        <v>29</v>
      </c>
      <c r="K799" t="s">
        <v>19</v>
      </c>
      <c r="L799" t="s">
        <v>23</v>
      </c>
      <c r="M799" t="s">
        <v>24</v>
      </c>
      <c r="N799">
        <v>87786</v>
      </c>
    </row>
    <row r="800" spans="1:14" x14ac:dyDescent="0.3">
      <c r="A800" t="s">
        <v>840</v>
      </c>
      <c r="B800" s="1">
        <v>45175</v>
      </c>
      <c r="C800" t="s">
        <v>39</v>
      </c>
      <c r="D800" t="s">
        <v>40</v>
      </c>
      <c r="E800" t="s">
        <v>44</v>
      </c>
      <c r="F800" t="s">
        <v>17</v>
      </c>
      <c r="G800">
        <v>9</v>
      </c>
      <c r="H800">
        <v>46297</v>
      </c>
      <c r="I800">
        <v>83334.600000000006</v>
      </c>
      <c r="J800" t="s">
        <v>50</v>
      </c>
      <c r="K800" t="s">
        <v>19</v>
      </c>
      <c r="L800" t="s">
        <v>37</v>
      </c>
      <c r="M800" t="s">
        <v>33</v>
      </c>
      <c r="N800">
        <v>333338.40000000002</v>
      </c>
    </row>
    <row r="801" spans="1:14" x14ac:dyDescent="0.3">
      <c r="A801" t="s">
        <v>841</v>
      </c>
      <c r="B801" s="1">
        <v>45092</v>
      </c>
      <c r="C801" t="s">
        <v>26</v>
      </c>
      <c r="D801" t="s">
        <v>40</v>
      </c>
      <c r="E801" t="s">
        <v>27</v>
      </c>
      <c r="F801" t="s">
        <v>17</v>
      </c>
      <c r="G801">
        <v>1</v>
      </c>
      <c r="H801">
        <v>24703</v>
      </c>
      <c r="I801">
        <v>2470.3000000000002</v>
      </c>
      <c r="J801" t="s">
        <v>18</v>
      </c>
      <c r="K801" t="s">
        <v>30</v>
      </c>
      <c r="L801" t="s">
        <v>23</v>
      </c>
      <c r="M801" t="s">
        <v>24</v>
      </c>
      <c r="N801">
        <v>22232.7</v>
      </c>
    </row>
    <row r="802" spans="1:14" x14ac:dyDescent="0.3">
      <c r="A802" t="s">
        <v>842</v>
      </c>
      <c r="B802" s="1">
        <v>45261</v>
      </c>
      <c r="C802" t="s">
        <v>14</v>
      </c>
      <c r="D802" t="s">
        <v>15</v>
      </c>
      <c r="E802" t="s">
        <v>27</v>
      </c>
      <c r="F802" t="s">
        <v>49</v>
      </c>
      <c r="G802">
        <v>9</v>
      </c>
      <c r="H802">
        <v>2979</v>
      </c>
      <c r="I802">
        <v>1340.5500000000002</v>
      </c>
      <c r="J802" t="s">
        <v>29</v>
      </c>
      <c r="K802" t="s">
        <v>19</v>
      </c>
      <c r="L802" t="s">
        <v>20</v>
      </c>
      <c r="M802" t="s">
        <v>33</v>
      </c>
      <c r="N802">
        <v>25470.449999999899</v>
      </c>
    </row>
    <row r="803" spans="1:14" x14ac:dyDescent="0.3">
      <c r="A803" t="s">
        <v>843</v>
      </c>
      <c r="B803" s="1">
        <v>44956</v>
      </c>
      <c r="C803" t="s">
        <v>14</v>
      </c>
      <c r="D803" t="s">
        <v>15</v>
      </c>
      <c r="E803" t="s">
        <v>44</v>
      </c>
      <c r="F803" t="s">
        <v>49</v>
      </c>
      <c r="G803">
        <v>4</v>
      </c>
      <c r="H803">
        <v>21504</v>
      </c>
      <c r="I803">
        <v>0</v>
      </c>
      <c r="J803" t="s">
        <v>36</v>
      </c>
      <c r="K803" t="s">
        <v>41</v>
      </c>
      <c r="L803" t="s">
        <v>23</v>
      </c>
      <c r="M803" t="s">
        <v>24</v>
      </c>
      <c r="N803">
        <v>86016</v>
      </c>
    </row>
    <row r="804" spans="1:14" x14ac:dyDescent="0.3">
      <c r="A804" t="s">
        <v>844</v>
      </c>
      <c r="B804" s="1">
        <v>45173</v>
      </c>
      <c r="C804" t="s">
        <v>46</v>
      </c>
      <c r="D804" t="s">
        <v>15</v>
      </c>
      <c r="E804" t="s">
        <v>16</v>
      </c>
      <c r="F804" t="s">
        <v>17</v>
      </c>
      <c r="G804">
        <v>9</v>
      </c>
      <c r="H804">
        <v>955</v>
      </c>
      <c r="I804">
        <v>1719</v>
      </c>
      <c r="J804" t="s">
        <v>18</v>
      </c>
      <c r="K804" t="s">
        <v>30</v>
      </c>
      <c r="L804" t="s">
        <v>37</v>
      </c>
      <c r="M804" t="s">
        <v>33</v>
      </c>
      <c r="N804">
        <v>6876</v>
      </c>
    </row>
    <row r="805" spans="1:14" x14ac:dyDescent="0.3">
      <c r="A805" t="s">
        <v>845</v>
      </c>
      <c r="B805" s="1">
        <v>45032</v>
      </c>
      <c r="C805" t="s">
        <v>32</v>
      </c>
      <c r="D805" t="s">
        <v>15</v>
      </c>
      <c r="E805" t="s">
        <v>44</v>
      </c>
      <c r="F805" t="s">
        <v>49</v>
      </c>
      <c r="G805">
        <v>7</v>
      </c>
      <c r="H805">
        <v>39463</v>
      </c>
      <c r="I805">
        <v>27624.100000000002</v>
      </c>
      <c r="J805" t="s">
        <v>36</v>
      </c>
      <c r="K805" t="s">
        <v>19</v>
      </c>
      <c r="L805" t="s">
        <v>37</v>
      </c>
      <c r="M805" t="s">
        <v>24</v>
      </c>
      <c r="N805">
        <v>248616.9</v>
      </c>
    </row>
    <row r="806" spans="1:14" x14ac:dyDescent="0.3">
      <c r="A806" t="s">
        <v>846</v>
      </c>
      <c r="B806" s="1">
        <v>44977</v>
      </c>
      <c r="C806" t="s">
        <v>14</v>
      </c>
      <c r="D806" t="s">
        <v>15</v>
      </c>
      <c r="E806" t="s">
        <v>16</v>
      </c>
      <c r="F806" t="s">
        <v>35</v>
      </c>
      <c r="G806">
        <v>6</v>
      </c>
      <c r="H806">
        <v>43155</v>
      </c>
      <c r="I806">
        <v>38839.5</v>
      </c>
      <c r="J806" t="s">
        <v>18</v>
      </c>
      <c r="K806" t="s">
        <v>30</v>
      </c>
      <c r="L806" t="s">
        <v>23</v>
      </c>
      <c r="M806" t="s">
        <v>21</v>
      </c>
      <c r="N806">
        <v>220090.5</v>
      </c>
    </row>
    <row r="807" spans="1:14" x14ac:dyDescent="0.3">
      <c r="A807" t="s">
        <v>847</v>
      </c>
      <c r="B807" s="1">
        <v>45007</v>
      </c>
      <c r="C807" t="s">
        <v>14</v>
      </c>
      <c r="D807" t="s">
        <v>15</v>
      </c>
      <c r="E807" t="s">
        <v>44</v>
      </c>
      <c r="F807" t="s">
        <v>47</v>
      </c>
      <c r="G807">
        <v>5</v>
      </c>
      <c r="H807">
        <v>42481</v>
      </c>
      <c r="I807">
        <v>10620.25</v>
      </c>
      <c r="J807" t="s">
        <v>29</v>
      </c>
      <c r="K807" t="s">
        <v>41</v>
      </c>
      <c r="L807" t="s">
        <v>20</v>
      </c>
      <c r="M807" t="s">
        <v>24</v>
      </c>
      <c r="N807">
        <v>201784.75</v>
      </c>
    </row>
    <row r="808" spans="1:14" x14ac:dyDescent="0.3">
      <c r="A808" t="s">
        <v>848</v>
      </c>
      <c r="B808" s="1">
        <v>45059</v>
      </c>
      <c r="C808" t="s">
        <v>39</v>
      </c>
      <c r="D808" t="s">
        <v>43</v>
      </c>
      <c r="E808" t="s">
        <v>27</v>
      </c>
      <c r="F808" t="s">
        <v>47</v>
      </c>
      <c r="G808">
        <v>9</v>
      </c>
      <c r="H808">
        <v>17600</v>
      </c>
      <c r="I808">
        <v>0</v>
      </c>
      <c r="J808" t="s">
        <v>29</v>
      </c>
      <c r="K808" t="s">
        <v>30</v>
      </c>
      <c r="L808" t="s">
        <v>23</v>
      </c>
      <c r="M808" t="s">
        <v>24</v>
      </c>
      <c r="N808">
        <v>158400</v>
      </c>
    </row>
    <row r="809" spans="1:14" x14ac:dyDescent="0.3">
      <c r="A809" t="s">
        <v>849</v>
      </c>
      <c r="B809" s="1">
        <v>45211</v>
      </c>
      <c r="C809" t="s">
        <v>39</v>
      </c>
      <c r="D809" t="s">
        <v>15</v>
      </c>
      <c r="E809" t="s">
        <v>16</v>
      </c>
      <c r="F809" t="s">
        <v>35</v>
      </c>
      <c r="G809">
        <v>2</v>
      </c>
      <c r="H809">
        <v>40315</v>
      </c>
      <c r="I809">
        <v>4031.5</v>
      </c>
      <c r="J809" t="s">
        <v>29</v>
      </c>
      <c r="K809" t="s">
        <v>19</v>
      </c>
      <c r="L809" t="s">
        <v>23</v>
      </c>
      <c r="M809" t="s">
        <v>21</v>
      </c>
      <c r="N809">
        <v>76598.5</v>
      </c>
    </row>
    <row r="810" spans="1:14" x14ac:dyDescent="0.3">
      <c r="A810" t="s">
        <v>850</v>
      </c>
      <c r="B810" s="1">
        <v>45064</v>
      </c>
      <c r="C810" t="s">
        <v>26</v>
      </c>
      <c r="D810" t="s">
        <v>40</v>
      </c>
      <c r="E810" t="s">
        <v>16</v>
      </c>
      <c r="F810" t="s">
        <v>47</v>
      </c>
      <c r="G810">
        <v>2</v>
      </c>
      <c r="H810">
        <v>14449</v>
      </c>
      <c r="I810">
        <v>4334.7</v>
      </c>
      <c r="J810" t="s">
        <v>50</v>
      </c>
      <c r="K810" t="s">
        <v>41</v>
      </c>
      <c r="L810" t="s">
        <v>23</v>
      </c>
      <c r="M810" t="s">
        <v>21</v>
      </c>
      <c r="N810">
        <v>24563.3</v>
      </c>
    </row>
    <row r="811" spans="1:14" x14ac:dyDescent="0.3">
      <c r="A811" t="s">
        <v>851</v>
      </c>
      <c r="B811" s="1">
        <v>45110</v>
      </c>
      <c r="C811" t="s">
        <v>46</v>
      </c>
      <c r="D811" t="s">
        <v>43</v>
      </c>
      <c r="E811" t="s">
        <v>16</v>
      </c>
      <c r="F811" t="s">
        <v>28</v>
      </c>
      <c r="G811">
        <v>9</v>
      </c>
      <c r="H811">
        <v>47847</v>
      </c>
      <c r="I811">
        <v>0</v>
      </c>
      <c r="J811" t="s">
        <v>36</v>
      </c>
      <c r="K811" t="s">
        <v>41</v>
      </c>
      <c r="L811" t="s">
        <v>20</v>
      </c>
      <c r="M811" t="s">
        <v>33</v>
      </c>
      <c r="N811">
        <v>430623</v>
      </c>
    </row>
    <row r="812" spans="1:14" x14ac:dyDescent="0.3">
      <c r="A812" t="s">
        <v>852</v>
      </c>
      <c r="B812" s="1">
        <v>45256</v>
      </c>
      <c r="C812" t="s">
        <v>26</v>
      </c>
      <c r="D812" t="s">
        <v>15</v>
      </c>
      <c r="E812" t="s">
        <v>27</v>
      </c>
      <c r="F812" t="s">
        <v>35</v>
      </c>
      <c r="G812">
        <v>3</v>
      </c>
      <c r="H812">
        <v>47025</v>
      </c>
      <c r="I812">
        <v>21161.25</v>
      </c>
      <c r="J812" t="s">
        <v>50</v>
      </c>
      <c r="K812" t="s">
        <v>19</v>
      </c>
      <c r="L812" t="s">
        <v>37</v>
      </c>
      <c r="M812" t="s">
        <v>33</v>
      </c>
      <c r="N812">
        <v>119913.75</v>
      </c>
    </row>
    <row r="813" spans="1:14" x14ac:dyDescent="0.3">
      <c r="A813" t="s">
        <v>853</v>
      </c>
      <c r="B813" s="1">
        <v>45199</v>
      </c>
      <c r="C813" t="s">
        <v>39</v>
      </c>
      <c r="D813" t="s">
        <v>40</v>
      </c>
      <c r="E813" t="s">
        <v>44</v>
      </c>
      <c r="F813" t="s">
        <v>49</v>
      </c>
      <c r="G813">
        <v>8</v>
      </c>
      <c r="H813">
        <v>45025</v>
      </c>
      <c r="I813">
        <v>18010</v>
      </c>
      <c r="J813" t="s">
        <v>18</v>
      </c>
      <c r="K813" t="s">
        <v>19</v>
      </c>
      <c r="L813" t="s">
        <v>20</v>
      </c>
      <c r="M813" t="s">
        <v>33</v>
      </c>
      <c r="N813">
        <v>342190</v>
      </c>
    </row>
    <row r="814" spans="1:14" x14ac:dyDescent="0.3">
      <c r="A814" t="s">
        <v>854</v>
      </c>
      <c r="B814" s="1">
        <v>45266</v>
      </c>
      <c r="C814" t="s">
        <v>32</v>
      </c>
      <c r="D814" t="s">
        <v>43</v>
      </c>
      <c r="E814" t="s">
        <v>27</v>
      </c>
      <c r="F814" t="s">
        <v>35</v>
      </c>
      <c r="G814">
        <v>9</v>
      </c>
      <c r="H814">
        <v>24800</v>
      </c>
      <c r="I814">
        <v>22320</v>
      </c>
      <c r="J814" t="s">
        <v>36</v>
      </c>
      <c r="K814" t="s">
        <v>19</v>
      </c>
      <c r="L814" t="s">
        <v>37</v>
      </c>
      <c r="M814" t="s">
        <v>24</v>
      </c>
      <c r="N814">
        <v>200880</v>
      </c>
    </row>
    <row r="815" spans="1:14" x14ac:dyDescent="0.3">
      <c r="A815" t="s">
        <v>855</v>
      </c>
      <c r="B815" s="1">
        <v>44995</v>
      </c>
      <c r="C815" t="s">
        <v>39</v>
      </c>
      <c r="D815" t="s">
        <v>40</v>
      </c>
      <c r="E815" t="s">
        <v>16</v>
      </c>
      <c r="F815" t="s">
        <v>17</v>
      </c>
      <c r="G815">
        <v>8</v>
      </c>
      <c r="H815">
        <v>37906</v>
      </c>
      <c r="I815">
        <v>15162.400000000001</v>
      </c>
      <c r="J815" t="s">
        <v>29</v>
      </c>
      <c r="K815" t="s">
        <v>30</v>
      </c>
      <c r="L815" t="s">
        <v>37</v>
      </c>
      <c r="M815" t="s">
        <v>33</v>
      </c>
      <c r="N815">
        <v>288085.59999999998</v>
      </c>
    </row>
    <row r="816" spans="1:14" x14ac:dyDescent="0.3">
      <c r="A816" t="s">
        <v>856</v>
      </c>
      <c r="B816" s="1">
        <v>44960</v>
      </c>
      <c r="C816" t="s">
        <v>46</v>
      </c>
      <c r="D816" t="s">
        <v>15</v>
      </c>
      <c r="E816" t="s">
        <v>44</v>
      </c>
      <c r="F816" t="s">
        <v>49</v>
      </c>
      <c r="G816">
        <v>4</v>
      </c>
      <c r="H816">
        <v>19422</v>
      </c>
      <c r="I816">
        <v>3884.4</v>
      </c>
      <c r="J816" t="s">
        <v>36</v>
      </c>
      <c r="K816" t="s">
        <v>30</v>
      </c>
      <c r="L816" t="s">
        <v>37</v>
      </c>
      <c r="M816" t="s">
        <v>24</v>
      </c>
      <c r="N816">
        <v>73803.599999999904</v>
      </c>
    </row>
    <row r="817" spans="1:14" x14ac:dyDescent="0.3">
      <c r="A817" t="s">
        <v>857</v>
      </c>
      <c r="B817" s="1">
        <v>45188</v>
      </c>
      <c r="C817" t="s">
        <v>39</v>
      </c>
      <c r="D817" t="s">
        <v>15</v>
      </c>
      <c r="E817" t="s">
        <v>27</v>
      </c>
      <c r="F817" t="s">
        <v>17</v>
      </c>
      <c r="G817">
        <v>1</v>
      </c>
      <c r="H817">
        <v>33705</v>
      </c>
      <c r="I817">
        <v>1685.25</v>
      </c>
      <c r="J817" t="s">
        <v>29</v>
      </c>
      <c r="K817" t="s">
        <v>30</v>
      </c>
      <c r="L817" t="s">
        <v>20</v>
      </c>
      <c r="M817" t="s">
        <v>24</v>
      </c>
      <c r="N817">
        <v>32019.75</v>
      </c>
    </row>
    <row r="818" spans="1:14" x14ac:dyDescent="0.3">
      <c r="A818" t="s">
        <v>858</v>
      </c>
      <c r="B818" s="1">
        <v>44979</v>
      </c>
      <c r="C818" t="s">
        <v>46</v>
      </c>
      <c r="D818" t="s">
        <v>15</v>
      </c>
      <c r="E818" t="s">
        <v>16</v>
      </c>
      <c r="F818" t="s">
        <v>49</v>
      </c>
      <c r="G818">
        <v>4</v>
      </c>
      <c r="H818">
        <v>39168</v>
      </c>
      <c r="I818">
        <v>31334.400000000001</v>
      </c>
      <c r="J818" t="s">
        <v>50</v>
      </c>
      <c r="K818" t="s">
        <v>19</v>
      </c>
      <c r="L818" t="s">
        <v>23</v>
      </c>
      <c r="M818" t="s">
        <v>33</v>
      </c>
      <c r="N818">
        <v>125337.60000000001</v>
      </c>
    </row>
    <row r="819" spans="1:14" x14ac:dyDescent="0.3">
      <c r="A819" t="s">
        <v>859</v>
      </c>
      <c r="B819" s="1">
        <v>45131</v>
      </c>
      <c r="C819" t="s">
        <v>46</v>
      </c>
      <c r="D819" t="s">
        <v>15</v>
      </c>
      <c r="E819" t="s">
        <v>16</v>
      </c>
      <c r="F819" t="s">
        <v>47</v>
      </c>
      <c r="G819">
        <v>9</v>
      </c>
      <c r="H819">
        <v>41339</v>
      </c>
      <c r="I819">
        <v>55807.65</v>
      </c>
      <c r="J819" t="s">
        <v>50</v>
      </c>
      <c r="K819" t="s">
        <v>19</v>
      </c>
      <c r="L819" t="s">
        <v>23</v>
      </c>
      <c r="M819" t="s">
        <v>33</v>
      </c>
      <c r="N819">
        <v>316243.34999999998</v>
      </c>
    </row>
    <row r="820" spans="1:14" x14ac:dyDescent="0.3">
      <c r="A820" t="s">
        <v>860</v>
      </c>
      <c r="B820" s="1">
        <v>45052</v>
      </c>
      <c r="C820" t="s">
        <v>46</v>
      </c>
      <c r="D820" t="s">
        <v>43</v>
      </c>
      <c r="E820" t="s">
        <v>27</v>
      </c>
      <c r="F820" t="s">
        <v>35</v>
      </c>
      <c r="G820">
        <v>2</v>
      </c>
      <c r="H820">
        <v>49583</v>
      </c>
      <c r="I820">
        <v>14874.9</v>
      </c>
      <c r="J820" t="s">
        <v>29</v>
      </c>
      <c r="K820" t="s">
        <v>30</v>
      </c>
      <c r="L820" t="s">
        <v>23</v>
      </c>
      <c r="M820" t="s">
        <v>24</v>
      </c>
      <c r="N820">
        <v>84291.099999999904</v>
      </c>
    </row>
    <row r="821" spans="1:14" x14ac:dyDescent="0.3">
      <c r="A821" t="s">
        <v>861</v>
      </c>
      <c r="B821" s="1">
        <v>45161</v>
      </c>
      <c r="C821" t="s">
        <v>46</v>
      </c>
      <c r="D821" t="s">
        <v>43</v>
      </c>
      <c r="E821" t="s">
        <v>27</v>
      </c>
      <c r="F821" t="s">
        <v>28</v>
      </c>
      <c r="G821">
        <v>3</v>
      </c>
      <c r="H821">
        <v>41502</v>
      </c>
      <c r="I821">
        <v>18675.899999999998</v>
      </c>
      <c r="J821" t="s">
        <v>29</v>
      </c>
      <c r="K821" t="s">
        <v>41</v>
      </c>
      <c r="L821" t="s">
        <v>23</v>
      </c>
      <c r="M821" t="s">
        <v>21</v>
      </c>
      <c r="N821">
        <v>105830.099999999</v>
      </c>
    </row>
    <row r="822" spans="1:14" x14ac:dyDescent="0.3">
      <c r="A822" t="s">
        <v>862</v>
      </c>
      <c r="B822" s="1">
        <v>44969</v>
      </c>
      <c r="C822" t="s">
        <v>46</v>
      </c>
      <c r="D822" t="s">
        <v>40</v>
      </c>
      <c r="E822" t="s">
        <v>27</v>
      </c>
      <c r="F822" t="s">
        <v>49</v>
      </c>
      <c r="G822">
        <v>8</v>
      </c>
      <c r="H822">
        <v>29348</v>
      </c>
      <c r="I822">
        <v>46956.800000000003</v>
      </c>
      <c r="J822" t="s">
        <v>18</v>
      </c>
      <c r="K822" t="s">
        <v>30</v>
      </c>
      <c r="L822" t="s">
        <v>23</v>
      </c>
      <c r="M822" t="s">
        <v>21</v>
      </c>
      <c r="N822">
        <v>187827.20000000001</v>
      </c>
    </row>
    <row r="823" spans="1:14" x14ac:dyDescent="0.3">
      <c r="A823" t="s">
        <v>863</v>
      </c>
      <c r="B823" s="1">
        <v>45166</v>
      </c>
      <c r="C823" t="s">
        <v>32</v>
      </c>
      <c r="D823" t="s">
        <v>15</v>
      </c>
      <c r="E823" t="s">
        <v>16</v>
      </c>
      <c r="F823" t="s">
        <v>49</v>
      </c>
      <c r="G823">
        <v>6</v>
      </c>
      <c r="H823">
        <v>22502</v>
      </c>
      <c r="I823">
        <v>13501.2</v>
      </c>
      <c r="J823" t="s">
        <v>50</v>
      </c>
      <c r="K823" t="s">
        <v>41</v>
      </c>
      <c r="L823" t="s">
        <v>20</v>
      </c>
      <c r="M823" t="s">
        <v>24</v>
      </c>
      <c r="N823">
        <v>121510.8</v>
      </c>
    </row>
    <row r="824" spans="1:14" x14ac:dyDescent="0.3">
      <c r="A824" t="s">
        <v>864</v>
      </c>
      <c r="B824" s="1">
        <v>45037</v>
      </c>
      <c r="C824" t="s">
        <v>26</v>
      </c>
      <c r="D824" t="s">
        <v>40</v>
      </c>
      <c r="E824" t="s">
        <v>27</v>
      </c>
      <c r="F824" t="s">
        <v>17</v>
      </c>
      <c r="G824">
        <v>8</v>
      </c>
      <c r="H824">
        <v>2823</v>
      </c>
      <c r="I824">
        <v>1129.2</v>
      </c>
      <c r="J824" t="s">
        <v>50</v>
      </c>
      <c r="K824" t="s">
        <v>19</v>
      </c>
      <c r="L824" t="s">
        <v>20</v>
      </c>
      <c r="M824" t="s">
        <v>33</v>
      </c>
      <c r="N824">
        <v>21454.799999999999</v>
      </c>
    </row>
    <row r="825" spans="1:14" x14ac:dyDescent="0.3">
      <c r="A825" t="s">
        <v>865</v>
      </c>
      <c r="B825" s="1">
        <v>45175</v>
      </c>
      <c r="C825" t="s">
        <v>14</v>
      </c>
      <c r="D825" t="s">
        <v>43</v>
      </c>
      <c r="E825" t="s">
        <v>16</v>
      </c>
      <c r="F825" t="s">
        <v>47</v>
      </c>
      <c r="G825">
        <v>7</v>
      </c>
      <c r="H825">
        <v>8846</v>
      </c>
      <c r="I825">
        <v>6192.2000000000007</v>
      </c>
      <c r="J825" t="s">
        <v>18</v>
      </c>
      <c r="K825" t="s">
        <v>19</v>
      </c>
      <c r="L825" t="s">
        <v>20</v>
      </c>
      <c r="M825" t="s">
        <v>24</v>
      </c>
      <c r="N825">
        <v>55729.8</v>
      </c>
    </row>
    <row r="826" spans="1:14" x14ac:dyDescent="0.3">
      <c r="A826" t="s">
        <v>866</v>
      </c>
      <c r="B826" s="1">
        <v>45077</v>
      </c>
      <c r="C826" t="s">
        <v>26</v>
      </c>
      <c r="D826" t="s">
        <v>15</v>
      </c>
      <c r="E826" t="s">
        <v>27</v>
      </c>
      <c r="F826" t="s">
        <v>17</v>
      </c>
      <c r="G826">
        <v>5</v>
      </c>
      <c r="H826">
        <v>13743</v>
      </c>
      <c r="I826">
        <v>13743</v>
      </c>
      <c r="J826" t="s">
        <v>50</v>
      </c>
      <c r="K826" t="s">
        <v>30</v>
      </c>
      <c r="L826" t="s">
        <v>20</v>
      </c>
      <c r="M826" t="s">
        <v>24</v>
      </c>
      <c r="N826">
        <v>54972</v>
      </c>
    </row>
    <row r="827" spans="1:14" x14ac:dyDescent="0.3">
      <c r="A827" t="s">
        <v>867</v>
      </c>
      <c r="B827" s="1">
        <v>45109</v>
      </c>
      <c r="C827" t="s">
        <v>46</v>
      </c>
      <c r="D827" t="s">
        <v>15</v>
      </c>
      <c r="E827" t="s">
        <v>16</v>
      </c>
      <c r="F827" t="s">
        <v>17</v>
      </c>
      <c r="G827">
        <v>9</v>
      </c>
      <c r="H827">
        <v>29160</v>
      </c>
      <c r="I827">
        <v>39366</v>
      </c>
      <c r="J827" t="s">
        <v>29</v>
      </c>
      <c r="K827" t="s">
        <v>30</v>
      </c>
      <c r="L827" t="s">
        <v>20</v>
      </c>
      <c r="M827" t="s">
        <v>33</v>
      </c>
      <c r="N827">
        <v>223074</v>
      </c>
    </row>
    <row r="828" spans="1:14" x14ac:dyDescent="0.3">
      <c r="A828" t="s">
        <v>868</v>
      </c>
      <c r="B828" s="1">
        <v>45262</v>
      </c>
      <c r="C828" t="s">
        <v>32</v>
      </c>
      <c r="D828" t="s">
        <v>43</v>
      </c>
      <c r="E828" t="s">
        <v>16</v>
      </c>
      <c r="F828" t="s">
        <v>47</v>
      </c>
      <c r="G828">
        <v>4</v>
      </c>
      <c r="H828">
        <v>22985</v>
      </c>
      <c r="I828">
        <v>4597</v>
      </c>
      <c r="J828" t="s">
        <v>36</v>
      </c>
      <c r="K828" t="s">
        <v>19</v>
      </c>
      <c r="L828" t="s">
        <v>20</v>
      </c>
      <c r="M828" t="s">
        <v>21</v>
      </c>
      <c r="N828">
        <v>87343</v>
      </c>
    </row>
    <row r="829" spans="1:14" x14ac:dyDescent="0.3">
      <c r="A829" t="s">
        <v>869</v>
      </c>
      <c r="B829" s="1">
        <v>45021</v>
      </c>
      <c r="C829" t="s">
        <v>39</v>
      </c>
      <c r="D829" t="s">
        <v>43</v>
      </c>
      <c r="E829" t="s">
        <v>44</v>
      </c>
      <c r="F829" t="s">
        <v>28</v>
      </c>
      <c r="G829">
        <v>6</v>
      </c>
      <c r="H829">
        <v>13017</v>
      </c>
      <c r="I829">
        <v>0</v>
      </c>
      <c r="J829" t="s">
        <v>36</v>
      </c>
      <c r="K829" t="s">
        <v>30</v>
      </c>
      <c r="L829" t="s">
        <v>20</v>
      </c>
      <c r="M829" t="s">
        <v>24</v>
      </c>
      <c r="N829">
        <v>78102</v>
      </c>
    </row>
    <row r="830" spans="1:14" x14ac:dyDescent="0.3">
      <c r="A830" t="s">
        <v>870</v>
      </c>
      <c r="B830" s="1">
        <v>44934</v>
      </c>
      <c r="C830" t="s">
        <v>32</v>
      </c>
      <c r="D830" t="s">
        <v>43</v>
      </c>
      <c r="E830" t="s">
        <v>27</v>
      </c>
      <c r="F830" t="s">
        <v>17</v>
      </c>
      <c r="G830">
        <v>2</v>
      </c>
      <c r="H830">
        <v>31606</v>
      </c>
      <c r="I830">
        <v>0</v>
      </c>
      <c r="J830" t="s">
        <v>50</v>
      </c>
      <c r="K830" t="s">
        <v>19</v>
      </c>
      <c r="L830" t="s">
        <v>23</v>
      </c>
      <c r="M830" t="s">
        <v>21</v>
      </c>
      <c r="N830">
        <v>63212</v>
      </c>
    </row>
    <row r="831" spans="1:14" x14ac:dyDescent="0.3">
      <c r="A831" t="s">
        <v>871</v>
      </c>
      <c r="B831" s="1">
        <v>45286</v>
      </c>
      <c r="C831" t="s">
        <v>46</v>
      </c>
      <c r="D831" t="s">
        <v>43</v>
      </c>
      <c r="E831" t="s">
        <v>27</v>
      </c>
      <c r="F831" t="s">
        <v>17</v>
      </c>
      <c r="G831">
        <v>2</v>
      </c>
      <c r="H831">
        <v>23656</v>
      </c>
      <c r="I831">
        <v>4731.2</v>
      </c>
      <c r="J831" t="s">
        <v>18</v>
      </c>
      <c r="K831" t="s">
        <v>19</v>
      </c>
      <c r="L831" t="s">
        <v>37</v>
      </c>
      <c r="M831" t="s">
        <v>21</v>
      </c>
      <c r="N831">
        <v>42580.800000000003</v>
      </c>
    </row>
    <row r="832" spans="1:14" x14ac:dyDescent="0.3">
      <c r="A832" t="s">
        <v>872</v>
      </c>
      <c r="B832" s="1">
        <v>45110</v>
      </c>
      <c r="C832" t="s">
        <v>32</v>
      </c>
      <c r="D832" t="s">
        <v>43</v>
      </c>
      <c r="E832" t="s">
        <v>16</v>
      </c>
      <c r="F832" t="s">
        <v>49</v>
      </c>
      <c r="G832">
        <v>2</v>
      </c>
      <c r="H832">
        <v>23977</v>
      </c>
      <c r="I832">
        <v>7193.0999999999995</v>
      </c>
      <c r="J832" t="s">
        <v>29</v>
      </c>
      <c r="K832" t="s">
        <v>41</v>
      </c>
      <c r="L832" t="s">
        <v>20</v>
      </c>
      <c r="M832" t="s">
        <v>33</v>
      </c>
      <c r="N832">
        <v>40760.9</v>
      </c>
    </row>
    <row r="833" spans="1:14" x14ac:dyDescent="0.3">
      <c r="A833" t="s">
        <v>873</v>
      </c>
      <c r="B833" s="1">
        <v>45207</v>
      </c>
      <c r="C833" t="s">
        <v>32</v>
      </c>
      <c r="D833" t="s">
        <v>15</v>
      </c>
      <c r="E833" t="s">
        <v>16</v>
      </c>
      <c r="F833" t="s">
        <v>47</v>
      </c>
      <c r="G833">
        <v>7</v>
      </c>
      <c r="H833">
        <v>21114</v>
      </c>
      <c r="I833">
        <v>0</v>
      </c>
      <c r="J833" t="s">
        <v>36</v>
      </c>
      <c r="K833" t="s">
        <v>30</v>
      </c>
      <c r="L833" t="s">
        <v>37</v>
      </c>
      <c r="M833" t="s">
        <v>24</v>
      </c>
      <c r="N833">
        <v>147798</v>
      </c>
    </row>
    <row r="834" spans="1:14" x14ac:dyDescent="0.3">
      <c r="A834" t="s">
        <v>874</v>
      </c>
      <c r="B834" s="1">
        <v>45121</v>
      </c>
      <c r="C834" t="s">
        <v>46</v>
      </c>
      <c r="D834" t="s">
        <v>43</v>
      </c>
      <c r="E834" t="s">
        <v>16</v>
      </c>
      <c r="F834" t="s">
        <v>35</v>
      </c>
      <c r="G834">
        <v>2</v>
      </c>
      <c r="H834">
        <v>29753</v>
      </c>
      <c r="I834">
        <v>5950.6</v>
      </c>
      <c r="J834" t="s">
        <v>29</v>
      </c>
      <c r="K834" t="s">
        <v>19</v>
      </c>
      <c r="L834" t="s">
        <v>20</v>
      </c>
      <c r="M834" t="s">
        <v>24</v>
      </c>
      <c r="N834">
        <v>53555.4</v>
      </c>
    </row>
    <row r="835" spans="1:14" x14ac:dyDescent="0.3">
      <c r="A835" t="s">
        <v>875</v>
      </c>
      <c r="B835" s="1">
        <v>45278</v>
      </c>
      <c r="C835" t="s">
        <v>32</v>
      </c>
      <c r="D835" t="s">
        <v>15</v>
      </c>
      <c r="E835" t="s">
        <v>44</v>
      </c>
      <c r="F835" t="s">
        <v>28</v>
      </c>
      <c r="G835">
        <v>2</v>
      </c>
      <c r="H835">
        <v>23748</v>
      </c>
      <c r="I835">
        <v>9499.2000000000007</v>
      </c>
      <c r="J835" t="s">
        <v>50</v>
      </c>
      <c r="K835" t="s">
        <v>30</v>
      </c>
      <c r="L835" t="s">
        <v>20</v>
      </c>
      <c r="M835" t="s">
        <v>21</v>
      </c>
      <c r="N835">
        <v>37996.800000000003</v>
      </c>
    </row>
    <row r="836" spans="1:14" x14ac:dyDescent="0.3">
      <c r="A836" t="s">
        <v>876</v>
      </c>
      <c r="B836" s="1">
        <v>45121</v>
      </c>
      <c r="C836" t="s">
        <v>14</v>
      </c>
      <c r="D836" t="s">
        <v>15</v>
      </c>
      <c r="E836" t="s">
        <v>44</v>
      </c>
      <c r="F836" t="s">
        <v>28</v>
      </c>
      <c r="G836">
        <v>9</v>
      </c>
      <c r="H836">
        <v>37465</v>
      </c>
      <c r="I836">
        <v>33718.5</v>
      </c>
      <c r="J836" t="s">
        <v>50</v>
      </c>
      <c r="K836" t="s">
        <v>41</v>
      </c>
      <c r="L836" t="s">
        <v>23</v>
      </c>
      <c r="M836" t="s">
        <v>21</v>
      </c>
      <c r="N836">
        <v>303466.5</v>
      </c>
    </row>
    <row r="837" spans="1:14" x14ac:dyDescent="0.3">
      <c r="A837" t="s">
        <v>877</v>
      </c>
      <c r="B837" s="1">
        <v>45081</v>
      </c>
      <c r="C837" t="s">
        <v>14</v>
      </c>
      <c r="D837" t="s">
        <v>43</v>
      </c>
      <c r="E837" t="s">
        <v>16</v>
      </c>
      <c r="F837" t="s">
        <v>47</v>
      </c>
      <c r="G837">
        <v>7</v>
      </c>
      <c r="H837">
        <v>40901</v>
      </c>
      <c r="I837">
        <v>28630.7</v>
      </c>
      <c r="J837" t="s">
        <v>36</v>
      </c>
      <c r="K837" t="s">
        <v>41</v>
      </c>
      <c r="L837" t="s">
        <v>37</v>
      </c>
      <c r="M837" t="s">
        <v>33</v>
      </c>
      <c r="N837">
        <v>257676.3</v>
      </c>
    </row>
    <row r="838" spans="1:14" x14ac:dyDescent="0.3">
      <c r="A838" t="s">
        <v>878</v>
      </c>
      <c r="B838" s="1">
        <v>45019</v>
      </c>
      <c r="C838" t="s">
        <v>32</v>
      </c>
      <c r="D838" t="s">
        <v>43</v>
      </c>
      <c r="E838" t="s">
        <v>27</v>
      </c>
      <c r="F838" t="s">
        <v>49</v>
      </c>
      <c r="G838">
        <v>3</v>
      </c>
      <c r="H838">
        <v>6927</v>
      </c>
      <c r="I838">
        <v>2078.1</v>
      </c>
      <c r="J838" t="s">
        <v>50</v>
      </c>
      <c r="K838" t="s">
        <v>30</v>
      </c>
      <c r="L838" t="s">
        <v>23</v>
      </c>
      <c r="M838" t="s">
        <v>21</v>
      </c>
      <c r="N838">
        <v>18702.900000000001</v>
      </c>
    </row>
    <row r="839" spans="1:14" x14ac:dyDescent="0.3">
      <c r="A839" t="s">
        <v>879</v>
      </c>
      <c r="B839" s="1">
        <v>45086</v>
      </c>
      <c r="C839" t="s">
        <v>39</v>
      </c>
      <c r="D839" t="s">
        <v>15</v>
      </c>
      <c r="E839" t="s">
        <v>27</v>
      </c>
      <c r="F839" t="s">
        <v>49</v>
      </c>
      <c r="G839">
        <v>3</v>
      </c>
      <c r="H839">
        <v>45124</v>
      </c>
      <c r="I839">
        <v>6768.6</v>
      </c>
      <c r="J839" t="s">
        <v>18</v>
      </c>
      <c r="K839" t="s">
        <v>30</v>
      </c>
      <c r="L839" t="s">
        <v>23</v>
      </c>
      <c r="M839" t="s">
        <v>33</v>
      </c>
      <c r="N839">
        <v>128603.4</v>
      </c>
    </row>
    <row r="840" spans="1:14" x14ac:dyDescent="0.3">
      <c r="A840" t="s">
        <v>880</v>
      </c>
      <c r="B840" s="1">
        <v>44987</v>
      </c>
      <c r="C840" t="s">
        <v>46</v>
      </c>
      <c r="D840" t="s">
        <v>43</v>
      </c>
      <c r="E840" t="s">
        <v>44</v>
      </c>
      <c r="F840" t="s">
        <v>47</v>
      </c>
      <c r="G840">
        <v>7</v>
      </c>
      <c r="H840">
        <v>32627</v>
      </c>
      <c r="I840">
        <v>22838.9</v>
      </c>
      <c r="J840" t="s">
        <v>50</v>
      </c>
      <c r="K840" t="s">
        <v>19</v>
      </c>
      <c r="L840" t="s">
        <v>37</v>
      </c>
      <c r="M840" t="s">
        <v>24</v>
      </c>
      <c r="N840">
        <v>205550.1</v>
      </c>
    </row>
    <row r="841" spans="1:14" x14ac:dyDescent="0.3">
      <c r="A841" t="s">
        <v>881</v>
      </c>
      <c r="B841" s="1">
        <v>45048</v>
      </c>
      <c r="C841" t="s">
        <v>14</v>
      </c>
      <c r="D841" t="s">
        <v>43</v>
      </c>
      <c r="E841" t="s">
        <v>44</v>
      </c>
      <c r="F841" t="s">
        <v>49</v>
      </c>
      <c r="G841">
        <v>5</v>
      </c>
      <c r="H841">
        <v>16892</v>
      </c>
      <c r="I841">
        <v>8446</v>
      </c>
      <c r="J841" t="s">
        <v>50</v>
      </c>
      <c r="K841" t="s">
        <v>41</v>
      </c>
      <c r="L841" t="s">
        <v>23</v>
      </c>
      <c r="M841" t="s">
        <v>33</v>
      </c>
      <c r="N841">
        <v>76014</v>
      </c>
    </row>
    <row r="842" spans="1:14" x14ac:dyDescent="0.3">
      <c r="A842" t="s">
        <v>882</v>
      </c>
      <c r="B842" s="1">
        <v>44977</v>
      </c>
      <c r="C842" t="s">
        <v>39</v>
      </c>
      <c r="D842" t="s">
        <v>43</v>
      </c>
      <c r="E842" t="s">
        <v>16</v>
      </c>
      <c r="F842" t="s">
        <v>28</v>
      </c>
      <c r="G842">
        <v>6</v>
      </c>
      <c r="H842">
        <v>31825</v>
      </c>
      <c r="I842">
        <v>9547.5</v>
      </c>
      <c r="J842" t="s">
        <v>50</v>
      </c>
      <c r="K842" t="s">
        <v>41</v>
      </c>
      <c r="L842" t="s">
        <v>20</v>
      </c>
      <c r="M842" t="s">
        <v>21</v>
      </c>
      <c r="N842">
        <v>181402.5</v>
      </c>
    </row>
    <row r="843" spans="1:14" x14ac:dyDescent="0.3">
      <c r="A843" t="s">
        <v>883</v>
      </c>
      <c r="B843" s="1">
        <v>45203</v>
      </c>
      <c r="C843" t="s">
        <v>32</v>
      </c>
      <c r="D843" t="s">
        <v>40</v>
      </c>
      <c r="E843" t="s">
        <v>27</v>
      </c>
      <c r="F843" t="s">
        <v>28</v>
      </c>
      <c r="G843">
        <v>8</v>
      </c>
      <c r="H843">
        <v>25118</v>
      </c>
      <c r="I843">
        <v>10047.200000000001</v>
      </c>
      <c r="J843" t="s">
        <v>29</v>
      </c>
      <c r="K843" t="s">
        <v>41</v>
      </c>
      <c r="L843" t="s">
        <v>20</v>
      </c>
      <c r="M843" t="s">
        <v>24</v>
      </c>
      <c r="N843">
        <v>190896.8</v>
      </c>
    </row>
    <row r="844" spans="1:14" x14ac:dyDescent="0.3">
      <c r="A844" t="s">
        <v>884</v>
      </c>
      <c r="B844" s="1">
        <v>44931</v>
      </c>
      <c r="C844" t="s">
        <v>39</v>
      </c>
      <c r="D844" t="s">
        <v>15</v>
      </c>
      <c r="E844" t="s">
        <v>16</v>
      </c>
      <c r="F844" t="s">
        <v>35</v>
      </c>
      <c r="G844">
        <v>9</v>
      </c>
      <c r="H844">
        <v>41595</v>
      </c>
      <c r="I844">
        <v>74871</v>
      </c>
      <c r="J844" t="s">
        <v>29</v>
      </c>
      <c r="K844" t="s">
        <v>30</v>
      </c>
      <c r="L844" t="s">
        <v>20</v>
      </c>
      <c r="M844" t="s">
        <v>33</v>
      </c>
      <c r="N844">
        <v>299484</v>
      </c>
    </row>
    <row r="845" spans="1:14" x14ac:dyDescent="0.3">
      <c r="A845" t="s">
        <v>885</v>
      </c>
      <c r="B845" s="1">
        <v>45018</v>
      </c>
      <c r="C845" t="s">
        <v>26</v>
      </c>
      <c r="D845" t="s">
        <v>40</v>
      </c>
      <c r="E845" t="s">
        <v>44</v>
      </c>
      <c r="F845" t="s">
        <v>47</v>
      </c>
      <c r="G845">
        <v>1</v>
      </c>
      <c r="H845">
        <v>41336</v>
      </c>
      <c r="I845">
        <v>6200.4</v>
      </c>
      <c r="J845" t="s">
        <v>36</v>
      </c>
      <c r="K845" t="s">
        <v>19</v>
      </c>
      <c r="L845" t="s">
        <v>20</v>
      </c>
      <c r="M845" t="s">
        <v>24</v>
      </c>
      <c r="N845">
        <v>35135.599999999999</v>
      </c>
    </row>
    <row r="846" spans="1:14" x14ac:dyDescent="0.3">
      <c r="A846" t="s">
        <v>886</v>
      </c>
      <c r="B846" s="1">
        <v>45096</v>
      </c>
      <c r="C846" t="s">
        <v>14</v>
      </c>
      <c r="D846" t="s">
        <v>43</v>
      </c>
      <c r="E846" t="s">
        <v>27</v>
      </c>
      <c r="F846" t="s">
        <v>17</v>
      </c>
      <c r="G846">
        <v>3</v>
      </c>
      <c r="H846">
        <v>49490</v>
      </c>
      <c r="I846">
        <v>0</v>
      </c>
      <c r="J846" t="s">
        <v>36</v>
      </c>
      <c r="K846" t="s">
        <v>30</v>
      </c>
      <c r="L846" t="s">
        <v>20</v>
      </c>
      <c r="M846" t="s">
        <v>33</v>
      </c>
      <c r="N846">
        <v>148470</v>
      </c>
    </row>
    <row r="847" spans="1:14" x14ac:dyDescent="0.3">
      <c r="A847" t="s">
        <v>887</v>
      </c>
      <c r="B847" s="1">
        <v>45243</v>
      </c>
      <c r="C847" t="s">
        <v>32</v>
      </c>
      <c r="D847" t="s">
        <v>40</v>
      </c>
      <c r="E847" t="s">
        <v>27</v>
      </c>
      <c r="F847" t="s">
        <v>17</v>
      </c>
      <c r="G847">
        <v>7</v>
      </c>
      <c r="H847">
        <v>49545</v>
      </c>
      <c r="I847">
        <v>0</v>
      </c>
      <c r="J847" t="s">
        <v>36</v>
      </c>
      <c r="K847" t="s">
        <v>30</v>
      </c>
      <c r="L847" t="s">
        <v>23</v>
      </c>
      <c r="M847" t="s">
        <v>21</v>
      </c>
      <c r="N847">
        <v>346815</v>
      </c>
    </row>
    <row r="848" spans="1:14" x14ac:dyDescent="0.3">
      <c r="A848" t="s">
        <v>888</v>
      </c>
      <c r="B848" s="1">
        <v>44948</v>
      </c>
      <c r="C848" t="s">
        <v>46</v>
      </c>
      <c r="D848" t="s">
        <v>43</v>
      </c>
      <c r="E848" t="s">
        <v>44</v>
      </c>
      <c r="F848" t="s">
        <v>35</v>
      </c>
      <c r="G848">
        <v>6</v>
      </c>
      <c r="H848">
        <v>15777</v>
      </c>
      <c r="I848">
        <v>9466.2000000000007</v>
      </c>
      <c r="J848" t="s">
        <v>50</v>
      </c>
      <c r="K848" t="s">
        <v>30</v>
      </c>
      <c r="L848" t="s">
        <v>23</v>
      </c>
      <c r="M848" t="s">
        <v>21</v>
      </c>
      <c r="N848">
        <v>85195.8</v>
      </c>
    </row>
    <row r="849" spans="1:14" x14ac:dyDescent="0.3">
      <c r="A849" t="s">
        <v>889</v>
      </c>
      <c r="B849" s="1">
        <v>45252</v>
      </c>
      <c r="C849" t="s">
        <v>32</v>
      </c>
      <c r="D849" t="s">
        <v>40</v>
      </c>
      <c r="E849" t="s">
        <v>16</v>
      </c>
      <c r="F849" t="s">
        <v>35</v>
      </c>
      <c r="G849">
        <v>7</v>
      </c>
      <c r="H849">
        <v>19819</v>
      </c>
      <c r="I849">
        <v>27746.600000000002</v>
      </c>
      <c r="J849" t="s">
        <v>29</v>
      </c>
      <c r="K849" t="s">
        <v>19</v>
      </c>
      <c r="L849" t="s">
        <v>20</v>
      </c>
      <c r="M849" t="s">
        <v>24</v>
      </c>
      <c r="N849">
        <v>110986.4</v>
      </c>
    </row>
    <row r="850" spans="1:14" x14ac:dyDescent="0.3">
      <c r="A850" t="s">
        <v>890</v>
      </c>
      <c r="B850" s="1">
        <v>44927</v>
      </c>
      <c r="C850" t="s">
        <v>46</v>
      </c>
      <c r="D850" t="s">
        <v>43</v>
      </c>
      <c r="E850" t="s">
        <v>16</v>
      </c>
      <c r="F850" t="s">
        <v>49</v>
      </c>
      <c r="G850">
        <v>8</v>
      </c>
      <c r="H850">
        <v>46440</v>
      </c>
      <c r="I850">
        <v>37152</v>
      </c>
      <c r="J850" t="s">
        <v>18</v>
      </c>
      <c r="K850" t="s">
        <v>30</v>
      </c>
      <c r="L850" t="s">
        <v>20</v>
      </c>
      <c r="M850" t="s">
        <v>24</v>
      </c>
      <c r="N850">
        <v>334368</v>
      </c>
    </row>
    <row r="851" spans="1:14" x14ac:dyDescent="0.3">
      <c r="A851" t="s">
        <v>891</v>
      </c>
      <c r="B851" s="1">
        <v>45059</v>
      </c>
      <c r="C851" t="s">
        <v>32</v>
      </c>
      <c r="D851" t="s">
        <v>40</v>
      </c>
      <c r="E851" t="s">
        <v>27</v>
      </c>
      <c r="F851" t="s">
        <v>35</v>
      </c>
      <c r="G851">
        <v>6</v>
      </c>
      <c r="H851">
        <v>33910</v>
      </c>
      <c r="I851">
        <v>0</v>
      </c>
      <c r="J851" t="s">
        <v>50</v>
      </c>
      <c r="K851" t="s">
        <v>41</v>
      </c>
      <c r="L851" t="s">
        <v>23</v>
      </c>
      <c r="M851" t="s">
        <v>24</v>
      </c>
      <c r="N851">
        <v>203460</v>
      </c>
    </row>
    <row r="852" spans="1:14" x14ac:dyDescent="0.3">
      <c r="A852" t="s">
        <v>892</v>
      </c>
      <c r="B852" s="1">
        <v>45159</v>
      </c>
      <c r="C852" t="s">
        <v>39</v>
      </c>
      <c r="D852" t="s">
        <v>40</v>
      </c>
      <c r="E852" t="s">
        <v>44</v>
      </c>
      <c r="F852" t="s">
        <v>35</v>
      </c>
      <c r="G852">
        <v>3</v>
      </c>
      <c r="H852">
        <v>37588</v>
      </c>
      <c r="I852">
        <v>5638.2000000000007</v>
      </c>
      <c r="J852" t="s">
        <v>50</v>
      </c>
      <c r="K852" t="s">
        <v>41</v>
      </c>
      <c r="L852" t="s">
        <v>37</v>
      </c>
      <c r="M852" t="s">
        <v>33</v>
      </c>
      <c r="N852">
        <v>107125.799999999</v>
      </c>
    </row>
    <row r="853" spans="1:14" x14ac:dyDescent="0.3">
      <c r="A853" t="s">
        <v>893</v>
      </c>
      <c r="B853" s="1">
        <v>44938</v>
      </c>
      <c r="C853" t="s">
        <v>39</v>
      </c>
      <c r="D853" t="s">
        <v>40</v>
      </c>
      <c r="E853" t="s">
        <v>27</v>
      </c>
      <c r="F853" t="s">
        <v>17</v>
      </c>
      <c r="G853">
        <v>2</v>
      </c>
      <c r="H853">
        <v>16395</v>
      </c>
      <c r="I853">
        <v>4918.5</v>
      </c>
      <c r="J853" t="s">
        <v>50</v>
      </c>
      <c r="K853" t="s">
        <v>41</v>
      </c>
      <c r="L853" t="s">
        <v>23</v>
      </c>
      <c r="M853" t="s">
        <v>21</v>
      </c>
      <c r="N853">
        <v>27871.5</v>
      </c>
    </row>
    <row r="854" spans="1:14" x14ac:dyDescent="0.3">
      <c r="A854" t="s">
        <v>894</v>
      </c>
      <c r="B854" s="1">
        <v>45272</v>
      </c>
      <c r="C854" t="s">
        <v>39</v>
      </c>
      <c r="D854" t="s">
        <v>15</v>
      </c>
      <c r="E854" t="s">
        <v>44</v>
      </c>
      <c r="F854" t="s">
        <v>49</v>
      </c>
      <c r="G854">
        <v>7</v>
      </c>
      <c r="H854">
        <v>27889</v>
      </c>
      <c r="I854">
        <v>39044.6</v>
      </c>
      <c r="J854" t="s">
        <v>18</v>
      </c>
      <c r="K854" t="s">
        <v>19</v>
      </c>
      <c r="L854" t="s">
        <v>23</v>
      </c>
      <c r="M854" t="s">
        <v>24</v>
      </c>
      <c r="N854">
        <v>156178.4</v>
      </c>
    </row>
    <row r="855" spans="1:14" x14ac:dyDescent="0.3">
      <c r="A855" t="s">
        <v>895</v>
      </c>
      <c r="B855" s="1">
        <v>44972</v>
      </c>
      <c r="C855" t="s">
        <v>26</v>
      </c>
      <c r="D855" t="s">
        <v>40</v>
      </c>
      <c r="E855" t="s">
        <v>16</v>
      </c>
      <c r="F855" t="s">
        <v>35</v>
      </c>
      <c r="G855">
        <v>1</v>
      </c>
      <c r="H855">
        <v>11354</v>
      </c>
      <c r="I855">
        <v>567.70000000000005</v>
      </c>
      <c r="J855" t="s">
        <v>36</v>
      </c>
      <c r="K855" t="s">
        <v>30</v>
      </c>
      <c r="L855" t="s">
        <v>23</v>
      </c>
      <c r="M855" t="s">
        <v>24</v>
      </c>
      <c r="N855">
        <v>10786.3</v>
      </c>
    </row>
    <row r="856" spans="1:14" x14ac:dyDescent="0.3">
      <c r="A856" t="s">
        <v>896</v>
      </c>
      <c r="B856" s="1">
        <v>44960</v>
      </c>
      <c r="C856" t="s">
        <v>46</v>
      </c>
      <c r="D856" t="s">
        <v>15</v>
      </c>
      <c r="E856" t="s">
        <v>44</v>
      </c>
      <c r="F856" t="s">
        <v>35</v>
      </c>
      <c r="G856">
        <v>3</v>
      </c>
      <c r="H856">
        <v>39321</v>
      </c>
      <c r="I856">
        <v>17694.45</v>
      </c>
      <c r="J856" t="s">
        <v>18</v>
      </c>
      <c r="K856" t="s">
        <v>19</v>
      </c>
      <c r="L856" t="s">
        <v>23</v>
      </c>
      <c r="M856" t="s">
        <v>24</v>
      </c>
      <c r="N856">
        <v>100268.55</v>
      </c>
    </row>
    <row r="857" spans="1:14" x14ac:dyDescent="0.3">
      <c r="A857" t="s">
        <v>897</v>
      </c>
      <c r="B857" s="1">
        <v>45004</v>
      </c>
      <c r="C857" t="s">
        <v>39</v>
      </c>
      <c r="D857" t="s">
        <v>43</v>
      </c>
      <c r="E857" t="s">
        <v>16</v>
      </c>
      <c r="F857" t="s">
        <v>49</v>
      </c>
      <c r="G857">
        <v>4</v>
      </c>
      <c r="H857">
        <v>29612</v>
      </c>
      <c r="I857">
        <v>23689.600000000002</v>
      </c>
      <c r="J857" t="s">
        <v>36</v>
      </c>
      <c r="K857" t="s">
        <v>30</v>
      </c>
      <c r="L857" t="s">
        <v>23</v>
      </c>
      <c r="M857" t="s">
        <v>33</v>
      </c>
      <c r="N857">
        <v>94758.399999999994</v>
      </c>
    </row>
    <row r="858" spans="1:14" x14ac:dyDescent="0.3">
      <c r="A858" t="s">
        <v>898</v>
      </c>
      <c r="B858" s="1">
        <v>45144</v>
      </c>
      <c r="C858" t="s">
        <v>26</v>
      </c>
      <c r="D858" t="s">
        <v>40</v>
      </c>
      <c r="E858" t="s">
        <v>44</v>
      </c>
      <c r="F858" t="s">
        <v>47</v>
      </c>
      <c r="G858">
        <v>1</v>
      </c>
      <c r="H858">
        <v>21541</v>
      </c>
      <c r="I858">
        <v>4308.2</v>
      </c>
      <c r="J858" t="s">
        <v>18</v>
      </c>
      <c r="K858" t="s">
        <v>41</v>
      </c>
      <c r="L858" t="s">
        <v>37</v>
      </c>
      <c r="M858" t="s">
        <v>24</v>
      </c>
      <c r="N858">
        <v>17232.8</v>
      </c>
    </row>
    <row r="859" spans="1:14" x14ac:dyDescent="0.3">
      <c r="A859" t="s">
        <v>899</v>
      </c>
      <c r="B859" s="1">
        <v>45227</v>
      </c>
      <c r="C859" t="s">
        <v>46</v>
      </c>
      <c r="D859" t="s">
        <v>43</v>
      </c>
      <c r="E859" t="s">
        <v>27</v>
      </c>
      <c r="F859" t="s">
        <v>49</v>
      </c>
      <c r="G859">
        <v>5</v>
      </c>
      <c r="H859">
        <v>32218</v>
      </c>
      <c r="I859">
        <v>0</v>
      </c>
      <c r="J859" t="s">
        <v>29</v>
      </c>
      <c r="K859" t="s">
        <v>30</v>
      </c>
      <c r="L859" t="s">
        <v>20</v>
      </c>
      <c r="M859" t="s">
        <v>24</v>
      </c>
      <c r="N859">
        <v>161090</v>
      </c>
    </row>
    <row r="860" spans="1:14" x14ac:dyDescent="0.3">
      <c r="A860" t="s">
        <v>900</v>
      </c>
      <c r="B860" s="1">
        <v>44999</v>
      </c>
      <c r="C860" t="s">
        <v>32</v>
      </c>
      <c r="D860" t="s">
        <v>43</v>
      </c>
      <c r="E860" t="s">
        <v>16</v>
      </c>
      <c r="F860" t="s">
        <v>17</v>
      </c>
      <c r="G860">
        <v>3</v>
      </c>
      <c r="H860">
        <v>9345</v>
      </c>
      <c r="I860">
        <v>1401.75</v>
      </c>
      <c r="J860" t="s">
        <v>50</v>
      </c>
      <c r="K860" t="s">
        <v>30</v>
      </c>
      <c r="L860" t="s">
        <v>20</v>
      </c>
      <c r="M860" t="s">
        <v>33</v>
      </c>
      <c r="N860">
        <v>26633.25</v>
      </c>
    </row>
    <row r="861" spans="1:14" x14ac:dyDescent="0.3">
      <c r="A861" t="s">
        <v>901</v>
      </c>
      <c r="B861" s="1">
        <v>45208</v>
      </c>
      <c r="C861" t="s">
        <v>26</v>
      </c>
      <c r="D861" t="s">
        <v>40</v>
      </c>
      <c r="E861" t="s">
        <v>27</v>
      </c>
      <c r="F861" t="s">
        <v>47</v>
      </c>
      <c r="G861">
        <v>2</v>
      </c>
      <c r="H861">
        <v>42462</v>
      </c>
      <c r="I861">
        <v>16984.8</v>
      </c>
      <c r="J861" t="s">
        <v>50</v>
      </c>
      <c r="K861" t="s">
        <v>30</v>
      </c>
      <c r="L861" t="s">
        <v>37</v>
      </c>
      <c r="M861" t="s">
        <v>33</v>
      </c>
      <c r="N861">
        <v>67939.199999999997</v>
      </c>
    </row>
    <row r="862" spans="1:14" x14ac:dyDescent="0.3">
      <c r="A862" t="s">
        <v>902</v>
      </c>
      <c r="B862" s="1">
        <v>45175</v>
      </c>
      <c r="C862" t="s">
        <v>14</v>
      </c>
      <c r="D862" t="s">
        <v>15</v>
      </c>
      <c r="E862" t="s">
        <v>27</v>
      </c>
      <c r="F862" t="s">
        <v>28</v>
      </c>
      <c r="G862">
        <v>3</v>
      </c>
      <c r="H862">
        <v>46530</v>
      </c>
      <c r="I862">
        <v>27918</v>
      </c>
      <c r="J862" t="s">
        <v>50</v>
      </c>
      <c r="K862" t="s">
        <v>19</v>
      </c>
      <c r="L862" t="s">
        <v>20</v>
      </c>
      <c r="M862" t="s">
        <v>24</v>
      </c>
      <c r="N862">
        <v>111672</v>
      </c>
    </row>
    <row r="863" spans="1:14" x14ac:dyDescent="0.3">
      <c r="A863" t="s">
        <v>903</v>
      </c>
      <c r="B863" s="1">
        <v>44973</v>
      </c>
      <c r="C863" t="s">
        <v>26</v>
      </c>
      <c r="D863" t="s">
        <v>40</v>
      </c>
      <c r="E863" t="s">
        <v>16</v>
      </c>
      <c r="F863" t="s">
        <v>49</v>
      </c>
      <c r="G863">
        <v>8</v>
      </c>
      <c r="H863">
        <v>22423</v>
      </c>
      <c r="I863">
        <v>26907.599999999999</v>
      </c>
      <c r="J863" t="s">
        <v>36</v>
      </c>
      <c r="K863" t="s">
        <v>30</v>
      </c>
      <c r="L863" t="s">
        <v>20</v>
      </c>
      <c r="M863" t="s">
        <v>24</v>
      </c>
      <c r="N863">
        <v>152476.4</v>
      </c>
    </row>
    <row r="864" spans="1:14" x14ac:dyDescent="0.3">
      <c r="A864" t="s">
        <v>904</v>
      </c>
      <c r="B864" s="1">
        <v>45047</v>
      </c>
      <c r="C864" t="s">
        <v>26</v>
      </c>
      <c r="D864" t="s">
        <v>43</v>
      </c>
      <c r="E864" t="s">
        <v>16</v>
      </c>
      <c r="F864" t="s">
        <v>17</v>
      </c>
      <c r="G864">
        <v>6</v>
      </c>
      <c r="H864">
        <v>3080</v>
      </c>
      <c r="I864">
        <v>0</v>
      </c>
      <c r="J864" t="s">
        <v>18</v>
      </c>
      <c r="K864" t="s">
        <v>30</v>
      </c>
      <c r="L864" t="s">
        <v>20</v>
      </c>
      <c r="M864" t="s">
        <v>33</v>
      </c>
      <c r="N864">
        <v>18480</v>
      </c>
    </row>
    <row r="865" spans="1:14" x14ac:dyDescent="0.3">
      <c r="A865" t="s">
        <v>905</v>
      </c>
      <c r="B865" s="1">
        <v>45140</v>
      </c>
      <c r="C865" t="s">
        <v>46</v>
      </c>
      <c r="D865" t="s">
        <v>43</v>
      </c>
      <c r="E865" t="s">
        <v>27</v>
      </c>
      <c r="F865" t="s">
        <v>47</v>
      </c>
      <c r="G865">
        <v>7</v>
      </c>
      <c r="H865">
        <v>21471</v>
      </c>
      <c r="I865">
        <v>15029.7</v>
      </c>
      <c r="J865" t="s">
        <v>29</v>
      </c>
      <c r="K865" t="s">
        <v>30</v>
      </c>
      <c r="L865" t="s">
        <v>37</v>
      </c>
      <c r="M865" t="s">
        <v>21</v>
      </c>
      <c r="N865">
        <v>135267.29999999999</v>
      </c>
    </row>
    <row r="866" spans="1:14" x14ac:dyDescent="0.3">
      <c r="A866" t="s">
        <v>906</v>
      </c>
      <c r="B866" s="1">
        <v>45165</v>
      </c>
      <c r="C866" t="s">
        <v>32</v>
      </c>
      <c r="D866" t="s">
        <v>40</v>
      </c>
      <c r="E866" t="s">
        <v>27</v>
      </c>
      <c r="F866" t="s">
        <v>49</v>
      </c>
      <c r="G866">
        <v>6</v>
      </c>
      <c r="H866">
        <v>33513</v>
      </c>
      <c r="I866">
        <v>0</v>
      </c>
      <c r="J866" t="s">
        <v>18</v>
      </c>
      <c r="K866" t="s">
        <v>19</v>
      </c>
      <c r="L866" t="s">
        <v>37</v>
      </c>
      <c r="M866" t="s">
        <v>33</v>
      </c>
      <c r="N866">
        <v>201078</v>
      </c>
    </row>
    <row r="867" spans="1:14" x14ac:dyDescent="0.3">
      <c r="A867" t="s">
        <v>907</v>
      </c>
      <c r="B867" s="1">
        <v>44982</v>
      </c>
      <c r="C867" t="s">
        <v>14</v>
      </c>
      <c r="D867" t="s">
        <v>15</v>
      </c>
      <c r="E867" t="s">
        <v>27</v>
      </c>
      <c r="F867" t="s">
        <v>35</v>
      </c>
      <c r="G867">
        <v>6</v>
      </c>
      <c r="H867">
        <v>47100</v>
      </c>
      <c r="I867">
        <v>28260</v>
      </c>
      <c r="J867" t="s">
        <v>50</v>
      </c>
      <c r="K867" t="s">
        <v>19</v>
      </c>
      <c r="L867" t="s">
        <v>20</v>
      </c>
      <c r="M867" t="s">
        <v>21</v>
      </c>
      <c r="N867">
        <v>254340</v>
      </c>
    </row>
    <row r="868" spans="1:14" x14ac:dyDescent="0.3">
      <c r="A868" t="s">
        <v>908</v>
      </c>
      <c r="B868" s="1">
        <v>45276</v>
      </c>
      <c r="C868" t="s">
        <v>39</v>
      </c>
      <c r="D868" t="s">
        <v>15</v>
      </c>
      <c r="E868" t="s">
        <v>27</v>
      </c>
      <c r="F868" t="s">
        <v>49</v>
      </c>
      <c r="G868">
        <v>3</v>
      </c>
      <c r="H868">
        <v>13504</v>
      </c>
      <c r="I868">
        <v>2025.6000000000001</v>
      </c>
      <c r="J868" t="s">
        <v>29</v>
      </c>
      <c r="K868" t="s">
        <v>19</v>
      </c>
      <c r="L868" t="s">
        <v>20</v>
      </c>
      <c r="M868" t="s">
        <v>24</v>
      </c>
      <c r="N868">
        <v>38486.400000000001</v>
      </c>
    </row>
    <row r="869" spans="1:14" x14ac:dyDescent="0.3">
      <c r="A869" t="s">
        <v>909</v>
      </c>
      <c r="B869" s="1">
        <v>45033</v>
      </c>
      <c r="C869" t="s">
        <v>39</v>
      </c>
      <c r="D869" t="s">
        <v>43</v>
      </c>
      <c r="E869" t="s">
        <v>16</v>
      </c>
      <c r="F869" t="s">
        <v>28</v>
      </c>
      <c r="G869">
        <v>8</v>
      </c>
      <c r="H869">
        <v>34895</v>
      </c>
      <c r="I869">
        <v>13958</v>
      </c>
      <c r="J869" t="s">
        <v>29</v>
      </c>
      <c r="K869" t="s">
        <v>30</v>
      </c>
      <c r="L869" t="s">
        <v>20</v>
      </c>
      <c r="M869" t="s">
        <v>24</v>
      </c>
      <c r="N869">
        <v>265202</v>
      </c>
    </row>
    <row r="870" spans="1:14" x14ac:dyDescent="0.3">
      <c r="A870" t="s">
        <v>910</v>
      </c>
      <c r="B870" s="1">
        <v>45245</v>
      </c>
      <c r="C870" t="s">
        <v>26</v>
      </c>
      <c r="D870" t="s">
        <v>43</v>
      </c>
      <c r="E870" t="s">
        <v>16</v>
      </c>
      <c r="F870" t="s">
        <v>49</v>
      </c>
      <c r="G870">
        <v>7</v>
      </c>
      <c r="H870">
        <v>30425</v>
      </c>
      <c r="I870">
        <v>42595</v>
      </c>
      <c r="J870" t="s">
        <v>50</v>
      </c>
      <c r="K870" t="s">
        <v>41</v>
      </c>
      <c r="L870" t="s">
        <v>23</v>
      </c>
      <c r="M870" t="s">
        <v>21</v>
      </c>
      <c r="N870">
        <v>170380</v>
      </c>
    </row>
    <row r="871" spans="1:14" x14ac:dyDescent="0.3">
      <c r="A871" t="s">
        <v>911</v>
      </c>
      <c r="B871" s="1">
        <v>44974</v>
      </c>
      <c r="C871" t="s">
        <v>46</v>
      </c>
      <c r="D871" t="s">
        <v>15</v>
      </c>
      <c r="E871" t="s">
        <v>27</v>
      </c>
      <c r="F871" t="s">
        <v>47</v>
      </c>
      <c r="G871">
        <v>7</v>
      </c>
      <c r="H871">
        <v>20736</v>
      </c>
      <c r="I871">
        <v>7257.6</v>
      </c>
      <c r="J871" t="s">
        <v>18</v>
      </c>
      <c r="K871" t="s">
        <v>41</v>
      </c>
      <c r="L871" t="s">
        <v>23</v>
      </c>
      <c r="M871" t="s">
        <v>33</v>
      </c>
      <c r="N871">
        <v>137894.39999999999</v>
      </c>
    </row>
    <row r="872" spans="1:14" x14ac:dyDescent="0.3">
      <c r="A872" t="s">
        <v>912</v>
      </c>
      <c r="B872" s="1">
        <v>44987</v>
      </c>
      <c r="C872" t="s">
        <v>46</v>
      </c>
      <c r="D872" t="s">
        <v>40</v>
      </c>
      <c r="E872" t="s">
        <v>44</v>
      </c>
      <c r="F872" t="s">
        <v>47</v>
      </c>
      <c r="G872">
        <v>6</v>
      </c>
      <c r="H872">
        <v>31031</v>
      </c>
      <c r="I872">
        <v>37237.200000000004</v>
      </c>
      <c r="J872" t="s">
        <v>50</v>
      </c>
      <c r="K872" t="s">
        <v>41</v>
      </c>
      <c r="L872" t="s">
        <v>23</v>
      </c>
      <c r="M872" t="s">
        <v>24</v>
      </c>
      <c r="N872">
        <v>148948.79999999999</v>
      </c>
    </row>
    <row r="873" spans="1:14" x14ac:dyDescent="0.3">
      <c r="A873" t="s">
        <v>913</v>
      </c>
      <c r="B873" s="1">
        <v>45263</v>
      </c>
      <c r="C873" t="s">
        <v>39</v>
      </c>
      <c r="D873" t="s">
        <v>43</v>
      </c>
      <c r="E873" t="s">
        <v>44</v>
      </c>
      <c r="F873" t="s">
        <v>49</v>
      </c>
      <c r="G873">
        <v>5</v>
      </c>
      <c r="H873">
        <v>49356</v>
      </c>
      <c r="I873">
        <v>0</v>
      </c>
      <c r="J873" t="s">
        <v>18</v>
      </c>
      <c r="K873" t="s">
        <v>30</v>
      </c>
      <c r="L873" t="s">
        <v>37</v>
      </c>
      <c r="M873" t="s">
        <v>21</v>
      </c>
      <c r="N873">
        <v>246780</v>
      </c>
    </row>
    <row r="874" spans="1:14" x14ac:dyDescent="0.3">
      <c r="A874" t="s">
        <v>914</v>
      </c>
      <c r="B874" s="1">
        <v>44952</v>
      </c>
      <c r="C874" t="s">
        <v>14</v>
      </c>
      <c r="D874" t="s">
        <v>15</v>
      </c>
      <c r="E874" t="s">
        <v>16</v>
      </c>
      <c r="F874" t="s">
        <v>47</v>
      </c>
      <c r="G874">
        <v>8</v>
      </c>
      <c r="H874">
        <v>11873</v>
      </c>
      <c r="I874">
        <v>4749.2</v>
      </c>
      <c r="J874" t="s">
        <v>29</v>
      </c>
      <c r="K874" t="s">
        <v>41</v>
      </c>
      <c r="L874" t="s">
        <v>20</v>
      </c>
      <c r="M874" t="s">
        <v>33</v>
      </c>
      <c r="N874">
        <v>90234.8</v>
      </c>
    </row>
    <row r="875" spans="1:14" x14ac:dyDescent="0.3">
      <c r="A875" t="s">
        <v>915</v>
      </c>
      <c r="B875" s="1">
        <v>45218</v>
      </c>
      <c r="C875" t="s">
        <v>32</v>
      </c>
      <c r="D875" t="s">
        <v>43</v>
      </c>
      <c r="E875" t="s">
        <v>27</v>
      </c>
      <c r="F875" t="s">
        <v>35</v>
      </c>
      <c r="G875">
        <v>5</v>
      </c>
      <c r="H875">
        <v>22117</v>
      </c>
      <c r="I875">
        <v>0</v>
      </c>
      <c r="J875" t="s">
        <v>29</v>
      </c>
      <c r="K875" t="s">
        <v>41</v>
      </c>
      <c r="L875" t="s">
        <v>37</v>
      </c>
      <c r="M875" t="s">
        <v>21</v>
      </c>
      <c r="N875">
        <v>110585</v>
      </c>
    </row>
    <row r="876" spans="1:14" x14ac:dyDescent="0.3">
      <c r="A876" t="s">
        <v>916</v>
      </c>
      <c r="B876" s="1">
        <v>45183</v>
      </c>
      <c r="C876" t="s">
        <v>14</v>
      </c>
      <c r="D876" t="s">
        <v>40</v>
      </c>
      <c r="E876" t="s">
        <v>27</v>
      </c>
      <c r="F876" t="s">
        <v>49</v>
      </c>
      <c r="G876">
        <v>9</v>
      </c>
      <c r="H876">
        <v>28029</v>
      </c>
      <c r="I876">
        <v>0</v>
      </c>
      <c r="J876" t="s">
        <v>50</v>
      </c>
      <c r="K876" t="s">
        <v>41</v>
      </c>
      <c r="L876" t="s">
        <v>37</v>
      </c>
      <c r="M876" t="s">
        <v>33</v>
      </c>
      <c r="N876">
        <v>252261</v>
      </c>
    </row>
    <row r="877" spans="1:14" x14ac:dyDescent="0.3">
      <c r="A877" t="s">
        <v>917</v>
      </c>
      <c r="B877" s="1">
        <v>44934</v>
      </c>
      <c r="C877" t="s">
        <v>32</v>
      </c>
      <c r="D877" t="s">
        <v>15</v>
      </c>
      <c r="E877" t="s">
        <v>16</v>
      </c>
      <c r="F877" t="s">
        <v>35</v>
      </c>
      <c r="G877">
        <v>9</v>
      </c>
      <c r="H877">
        <v>15572</v>
      </c>
      <c r="I877">
        <v>7007.4000000000005</v>
      </c>
      <c r="J877" t="s">
        <v>29</v>
      </c>
      <c r="K877" t="s">
        <v>30</v>
      </c>
      <c r="L877" t="s">
        <v>37</v>
      </c>
      <c r="M877" t="s">
        <v>33</v>
      </c>
      <c r="N877">
        <v>133140.6</v>
      </c>
    </row>
    <row r="878" spans="1:14" x14ac:dyDescent="0.3">
      <c r="A878" t="s">
        <v>918</v>
      </c>
      <c r="B878" s="1">
        <v>45039</v>
      </c>
      <c r="C878" t="s">
        <v>39</v>
      </c>
      <c r="D878" t="s">
        <v>43</v>
      </c>
      <c r="E878" t="s">
        <v>44</v>
      </c>
      <c r="F878" t="s">
        <v>35</v>
      </c>
      <c r="G878">
        <v>1</v>
      </c>
      <c r="H878">
        <v>26138</v>
      </c>
      <c r="I878">
        <v>0</v>
      </c>
      <c r="J878" t="s">
        <v>36</v>
      </c>
      <c r="K878" t="s">
        <v>41</v>
      </c>
      <c r="L878" t="s">
        <v>20</v>
      </c>
      <c r="M878" t="s">
        <v>33</v>
      </c>
      <c r="N878">
        <v>26138</v>
      </c>
    </row>
    <row r="879" spans="1:14" x14ac:dyDescent="0.3">
      <c r="A879" t="s">
        <v>919</v>
      </c>
      <c r="B879" s="1">
        <v>45281</v>
      </c>
      <c r="C879" t="s">
        <v>32</v>
      </c>
      <c r="D879" t="s">
        <v>40</v>
      </c>
      <c r="E879" t="s">
        <v>44</v>
      </c>
      <c r="F879" t="s">
        <v>17</v>
      </c>
      <c r="G879">
        <v>6</v>
      </c>
      <c r="H879">
        <v>2863</v>
      </c>
      <c r="I879">
        <v>858.90000000000009</v>
      </c>
      <c r="J879" t="s">
        <v>29</v>
      </c>
      <c r="K879" t="s">
        <v>41</v>
      </c>
      <c r="L879" t="s">
        <v>23</v>
      </c>
      <c r="M879" t="s">
        <v>33</v>
      </c>
      <c r="N879">
        <v>16319.0999999999</v>
      </c>
    </row>
    <row r="880" spans="1:14" x14ac:dyDescent="0.3">
      <c r="A880" t="s">
        <v>920</v>
      </c>
      <c r="B880" s="1">
        <v>45179</v>
      </c>
      <c r="C880" t="s">
        <v>46</v>
      </c>
      <c r="D880" t="s">
        <v>43</v>
      </c>
      <c r="E880" t="s">
        <v>44</v>
      </c>
      <c r="F880" t="s">
        <v>49</v>
      </c>
      <c r="G880">
        <v>7</v>
      </c>
      <c r="H880">
        <v>48001</v>
      </c>
      <c r="I880">
        <v>16800.350000000002</v>
      </c>
      <c r="J880" t="s">
        <v>36</v>
      </c>
      <c r="K880" t="s">
        <v>30</v>
      </c>
      <c r="L880" t="s">
        <v>20</v>
      </c>
      <c r="M880" t="s">
        <v>21</v>
      </c>
      <c r="N880">
        <v>319206.64999999898</v>
      </c>
    </row>
    <row r="881" spans="1:14" x14ac:dyDescent="0.3">
      <c r="A881" t="s">
        <v>921</v>
      </c>
      <c r="B881" s="1">
        <v>45106</v>
      </c>
      <c r="C881" t="s">
        <v>26</v>
      </c>
      <c r="D881" t="s">
        <v>40</v>
      </c>
      <c r="E881" t="s">
        <v>16</v>
      </c>
      <c r="F881" t="s">
        <v>47</v>
      </c>
      <c r="G881">
        <v>3</v>
      </c>
      <c r="H881">
        <v>9665</v>
      </c>
      <c r="I881">
        <v>1449.75</v>
      </c>
      <c r="J881" t="s">
        <v>29</v>
      </c>
      <c r="K881" t="s">
        <v>19</v>
      </c>
      <c r="L881" t="s">
        <v>20</v>
      </c>
      <c r="M881" t="s">
        <v>21</v>
      </c>
      <c r="N881">
        <v>27545.25</v>
      </c>
    </row>
    <row r="882" spans="1:14" x14ac:dyDescent="0.3">
      <c r="A882" t="s">
        <v>922</v>
      </c>
      <c r="B882" s="1">
        <v>45133</v>
      </c>
      <c r="C882" t="s">
        <v>26</v>
      </c>
      <c r="D882" t="s">
        <v>40</v>
      </c>
      <c r="E882" t="s">
        <v>44</v>
      </c>
      <c r="F882" t="s">
        <v>35</v>
      </c>
      <c r="G882">
        <v>7</v>
      </c>
      <c r="H882">
        <v>3526</v>
      </c>
      <c r="I882">
        <v>2468.2000000000003</v>
      </c>
      <c r="J882" t="s">
        <v>50</v>
      </c>
      <c r="K882" t="s">
        <v>41</v>
      </c>
      <c r="L882" t="s">
        <v>37</v>
      </c>
      <c r="M882" t="s">
        <v>21</v>
      </c>
      <c r="N882">
        <v>22213.8</v>
      </c>
    </row>
    <row r="883" spans="1:14" x14ac:dyDescent="0.3">
      <c r="A883" t="s">
        <v>923</v>
      </c>
      <c r="B883" s="1">
        <v>45229</v>
      </c>
      <c r="C883" t="s">
        <v>39</v>
      </c>
      <c r="D883" t="s">
        <v>15</v>
      </c>
      <c r="E883" t="s">
        <v>16</v>
      </c>
      <c r="F883" t="s">
        <v>17</v>
      </c>
      <c r="G883">
        <v>7</v>
      </c>
      <c r="H883">
        <v>3859</v>
      </c>
      <c r="I883">
        <v>0</v>
      </c>
      <c r="J883" t="s">
        <v>50</v>
      </c>
      <c r="K883" t="s">
        <v>19</v>
      </c>
      <c r="L883" t="s">
        <v>37</v>
      </c>
      <c r="M883" t="s">
        <v>21</v>
      </c>
      <c r="N883">
        <v>27013</v>
      </c>
    </row>
    <row r="884" spans="1:14" x14ac:dyDescent="0.3">
      <c r="A884" t="s">
        <v>924</v>
      </c>
      <c r="B884" s="1">
        <v>45053</v>
      </c>
      <c r="C884" t="s">
        <v>46</v>
      </c>
      <c r="D884" t="s">
        <v>40</v>
      </c>
      <c r="E884" t="s">
        <v>16</v>
      </c>
      <c r="F884" t="s">
        <v>49</v>
      </c>
      <c r="G884">
        <v>2</v>
      </c>
      <c r="H884">
        <v>27794</v>
      </c>
      <c r="I884">
        <v>8338.1999999999989</v>
      </c>
      <c r="J884" t="s">
        <v>36</v>
      </c>
      <c r="K884" t="s">
        <v>41</v>
      </c>
      <c r="L884" t="s">
        <v>37</v>
      </c>
      <c r="M884" t="s">
        <v>21</v>
      </c>
      <c r="N884">
        <v>47249.799999999901</v>
      </c>
    </row>
    <row r="885" spans="1:14" x14ac:dyDescent="0.3">
      <c r="A885" t="s">
        <v>925</v>
      </c>
      <c r="B885" s="1">
        <v>44982</v>
      </c>
      <c r="C885" t="s">
        <v>14</v>
      </c>
      <c r="D885" t="s">
        <v>43</v>
      </c>
      <c r="E885" t="s">
        <v>27</v>
      </c>
      <c r="F885" t="s">
        <v>49</v>
      </c>
      <c r="G885">
        <v>7</v>
      </c>
      <c r="H885">
        <v>4963</v>
      </c>
      <c r="I885">
        <v>1737.0500000000002</v>
      </c>
      <c r="J885" t="s">
        <v>50</v>
      </c>
      <c r="K885" t="s">
        <v>30</v>
      </c>
      <c r="L885" t="s">
        <v>23</v>
      </c>
      <c r="M885" t="s">
        <v>33</v>
      </c>
      <c r="N885">
        <v>33003.949999999997</v>
      </c>
    </row>
    <row r="886" spans="1:14" x14ac:dyDescent="0.3">
      <c r="A886" t="s">
        <v>926</v>
      </c>
      <c r="B886" s="1">
        <v>45140</v>
      </c>
      <c r="C886" t="s">
        <v>46</v>
      </c>
      <c r="D886" t="s">
        <v>40</v>
      </c>
      <c r="E886" t="s">
        <v>44</v>
      </c>
      <c r="F886" t="s">
        <v>28</v>
      </c>
      <c r="G886">
        <v>1</v>
      </c>
      <c r="H886">
        <v>23321</v>
      </c>
      <c r="I886">
        <v>0</v>
      </c>
      <c r="J886" t="s">
        <v>29</v>
      </c>
      <c r="K886" t="s">
        <v>19</v>
      </c>
      <c r="L886" t="s">
        <v>23</v>
      </c>
      <c r="M886" t="s">
        <v>24</v>
      </c>
      <c r="N886">
        <v>23321</v>
      </c>
    </row>
    <row r="887" spans="1:14" x14ac:dyDescent="0.3">
      <c r="A887" t="s">
        <v>927</v>
      </c>
      <c r="B887" s="1">
        <v>44940</v>
      </c>
      <c r="C887" t="s">
        <v>26</v>
      </c>
      <c r="D887" t="s">
        <v>40</v>
      </c>
      <c r="E887" t="s">
        <v>16</v>
      </c>
      <c r="F887" t="s">
        <v>28</v>
      </c>
      <c r="G887">
        <v>5</v>
      </c>
      <c r="H887">
        <v>11028</v>
      </c>
      <c r="I887">
        <v>11028</v>
      </c>
      <c r="J887" t="s">
        <v>29</v>
      </c>
      <c r="K887" t="s">
        <v>19</v>
      </c>
      <c r="L887" t="s">
        <v>23</v>
      </c>
      <c r="M887" t="s">
        <v>24</v>
      </c>
      <c r="N887">
        <v>44112</v>
      </c>
    </row>
    <row r="888" spans="1:14" x14ac:dyDescent="0.3">
      <c r="A888" t="s">
        <v>928</v>
      </c>
      <c r="B888" s="1">
        <v>44954</v>
      </c>
      <c r="C888" t="s">
        <v>26</v>
      </c>
      <c r="D888" t="s">
        <v>15</v>
      </c>
      <c r="E888" t="s">
        <v>44</v>
      </c>
      <c r="F888" t="s">
        <v>35</v>
      </c>
      <c r="G888">
        <v>9</v>
      </c>
      <c r="H888">
        <v>47788</v>
      </c>
      <c r="I888">
        <v>21504.600000000002</v>
      </c>
      <c r="J888" t="s">
        <v>50</v>
      </c>
      <c r="K888" t="s">
        <v>19</v>
      </c>
      <c r="L888" t="s">
        <v>20</v>
      </c>
      <c r="M888" t="s">
        <v>21</v>
      </c>
      <c r="N888">
        <v>408587.39999999898</v>
      </c>
    </row>
    <row r="889" spans="1:14" x14ac:dyDescent="0.3">
      <c r="A889" t="s">
        <v>929</v>
      </c>
      <c r="B889" s="1">
        <v>45004</v>
      </c>
      <c r="C889" t="s">
        <v>46</v>
      </c>
      <c r="D889" t="s">
        <v>40</v>
      </c>
      <c r="E889" t="s">
        <v>44</v>
      </c>
      <c r="F889" t="s">
        <v>28</v>
      </c>
      <c r="G889">
        <v>7</v>
      </c>
      <c r="H889">
        <v>11421</v>
      </c>
      <c r="I889">
        <v>3997.3500000000004</v>
      </c>
      <c r="J889" t="s">
        <v>29</v>
      </c>
      <c r="K889" t="s">
        <v>19</v>
      </c>
      <c r="L889" t="s">
        <v>37</v>
      </c>
      <c r="M889" t="s">
        <v>21</v>
      </c>
      <c r="N889">
        <v>75949.649999999994</v>
      </c>
    </row>
    <row r="890" spans="1:14" x14ac:dyDescent="0.3">
      <c r="A890" t="s">
        <v>930</v>
      </c>
      <c r="B890" s="1">
        <v>45142</v>
      </c>
      <c r="C890" t="s">
        <v>46</v>
      </c>
      <c r="D890" t="s">
        <v>40</v>
      </c>
      <c r="E890" t="s">
        <v>27</v>
      </c>
      <c r="F890" t="s">
        <v>35</v>
      </c>
      <c r="G890">
        <v>7</v>
      </c>
      <c r="H890">
        <v>11411</v>
      </c>
      <c r="I890">
        <v>11981.55</v>
      </c>
      <c r="J890" t="s">
        <v>18</v>
      </c>
      <c r="K890" t="s">
        <v>41</v>
      </c>
      <c r="L890" t="s">
        <v>20</v>
      </c>
      <c r="M890" t="s">
        <v>24</v>
      </c>
      <c r="N890">
        <v>67895.45</v>
      </c>
    </row>
    <row r="891" spans="1:14" x14ac:dyDescent="0.3">
      <c r="A891" t="s">
        <v>931</v>
      </c>
      <c r="B891" s="1">
        <v>45291</v>
      </c>
      <c r="C891" t="s">
        <v>26</v>
      </c>
      <c r="D891" t="s">
        <v>43</v>
      </c>
      <c r="E891" t="s">
        <v>44</v>
      </c>
      <c r="F891" t="s">
        <v>47</v>
      </c>
      <c r="G891">
        <v>2</v>
      </c>
      <c r="H891">
        <v>13769</v>
      </c>
      <c r="I891">
        <v>2753.8</v>
      </c>
      <c r="J891" t="s">
        <v>18</v>
      </c>
      <c r="K891" t="s">
        <v>41</v>
      </c>
      <c r="L891" t="s">
        <v>23</v>
      </c>
      <c r="M891" t="s">
        <v>33</v>
      </c>
      <c r="N891">
        <v>24784.2</v>
      </c>
    </row>
    <row r="892" spans="1:14" x14ac:dyDescent="0.3">
      <c r="A892" t="s">
        <v>932</v>
      </c>
      <c r="B892" s="1">
        <v>45080</v>
      </c>
      <c r="C892" t="s">
        <v>14</v>
      </c>
      <c r="D892" t="s">
        <v>15</v>
      </c>
      <c r="E892" t="s">
        <v>27</v>
      </c>
      <c r="F892" t="s">
        <v>35</v>
      </c>
      <c r="G892">
        <v>8</v>
      </c>
      <c r="H892">
        <v>31558</v>
      </c>
      <c r="I892">
        <v>25246.400000000001</v>
      </c>
      <c r="J892" t="s">
        <v>29</v>
      </c>
      <c r="K892" t="s">
        <v>19</v>
      </c>
      <c r="L892" t="s">
        <v>37</v>
      </c>
      <c r="M892" t="s">
        <v>21</v>
      </c>
      <c r="N892">
        <v>227217.6</v>
      </c>
    </row>
    <row r="893" spans="1:14" x14ac:dyDescent="0.3">
      <c r="A893" t="s">
        <v>933</v>
      </c>
      <c r="B893" s="1">
        <v>44940</v>
      </c>
      <c r="C893" t="s">
        <v>39</v>
      </c>
      <c r="D893" t="s">
        <v>15</v>
      </c>
      <c r="E893" t="s">
        <v>16</v>
      </c>
      <c r="F893" t="s">
        <v>28</v>
      </c>
      <c r="G893">
        <v>3</v>
      </c>
      <c r="H893">
        <v>38060</v>
      </c>
      <c r="I893">
        <v>5709</v>
      </c>
      <c r="J893" t="s">
        <v>50</v>
      </c>
      <c r="K893" t="s">
        <v>41</v>
      </c>
      <c r="L893" t="s">
        <v>23</v>
      </c>
      <c r="M893" t="s">
        <v>33</v>
      </c>
      <c r="N893">
        <v>108471</v>
      </c>
    </row>
    <row r="894" spans="1:14" x14ac:dyDescent="0.3">
      <c r="A894" t="s">
        <v>934</v>
      </c>
      <c r="B894" s="1">
        <v>45113</v>
      </c>
      <c r="C894" t="s">
        <v>39</v>
      </c>
      <c r="D894" t="s">
        <v>15</v>
      </c>
      <c r="E894" t="s">
        <v>44</v>
      </c>
      <c r="F894" t="s">
        <v>47</v>
      </c>
      <c r="G894">
        <v>8</v>
      </c>
      <c r="H894">
        <v>6222</v>
      </c>
      <c r="I894">
        <v>0</v>
      </c>
      <c r="J894" t="s">
        <v>36</v>
      </c>
      <c r="K894" t="s">
        <v>19</v>
      </c>
      <c r="L894" t="s">
        <v>37</v>
      </c>
      <c r="M894" t="s">
        <v>24</v>
      </c>
      <c r="N894">
        <v>49776</v>
      </c>
    </row>
    <row r="895" spans="1:14" x14ac:dyDescent="0.3">
      <c r="A895" t="s">
        <v>935</v>
      </c>
      <c r="B895" s="1">
        <v>45238</v>
      </c>
      <c r="C895" t="s">
        <v>46</v>
      </c>
      <c r="D895" t="s">
        <v>40</v>
      </c>
      <c r="E895" t="s">
        <v>16</v>
      </c>
      <c r="F895" t="s">
        <v>28</v>
      </c>
      <c r="G895">
        <v>3</v>
      </c>
      <c r="H895">
        <v>45537</v>
      </c>
      <c r="I895">
        <v>27322.2</v>
      </c>
      <c r="J895" t="s">
        <v>50</v>
      </c>
      <c r="K895" t="s">
        <v>19</v>
      </c>
      <c r="L895" t="s">
        <v>37</v>
      </c>
      <c r="M895" t="s">
        <v>24</v>
      </c>
      <c r="N895">
        <v>109288.8</v>
      </c>
    </row>
    <row r="896" spans="1:14" x14ac:dyDescent="0.3">
      <c r="A896" t="s">
        <v>936</v>
      </c>
      <c r="B896" s="1">
        <v>44933</v>
      </c>
      <c r="C896" t="s">
        <v>39</v>
      </c>
      <c r="D896" t="s">
        <v>15</v>
      </c>
      <c r="E896" t="s">
        <v>44</v>
      </c>
      <c r="F896" t="s">
        <v>35</v>
      </c>
      <c r="G896">
        <v>7</v>
      </c>
      <c r="H896">
        <v>13715</v>
      </c>
      <c r="I896">
        <v>19201</v>
      </c>
      <c r="J896" t="s">
        <v>36</v>
      </c>
      <c r="K896" t="s">
        <v>30</v>
      </c>
      <c r="L896" t="s">
        <v>20</v>
      </c>
      <c r="M896" t="s">
        <v>21</v>
      </c>
      <c r="N896">
        <v>76804</v>
      </c>
    </row>
    <row r="897" spans="1:14" x14ac:dyDescent="0.3">
      <c r="A897" t="s">
        <v>937</v>
      </c>
      <c r="B897" s="1">
        <v>44929</v>
      </c>
      <c r="C897" t="s">
        <v>26</v>
      </c>
      <c r="D897" t="s">
        <v>40</v>
      </c>
      <c r="E897" t="s">
        <v>16</v>
      </c>
      <c r="F897" t="s">
        <v>17</v>
      </c>
      <c r="G897">
        <v>2</v>
      </c>
      <c r="H897">
        <v>6359</v>
      </c>
      <c r="I897">
        <v>0</v>
      </c>
      <c r="J897" t="s">
        <v>50</v>
      </c>
      <c r="K897" t="s">
        <v>19</v>
      </c>
      <c r="L897" t="s">
        <v>20</v>
      </c>
      <c r="M897" t="s">
        <v>33</v>
      </c>
      <c r="N897">
        <v>12718</v>
      </c>
    </row>
    <row r="898" spans="1:14" x14ac:dyDescent="0.3">
      <c r="A898" t="s">
        <v>938</v>
      </c>
      <c r="B898" s="1">
        <v>45037</v>
      </c>
      <c r="C898" t="s">
        <v>26</v>
      </c>
      <c r="D898" t="s">
        <v>40</v>
      </c>
      <c r="E898" t="s">
        <v>44</v>
      </c>
      <c r="F898" t="s">
        <v>49</v>
      </c>
      <c r="G898">
        <v>4</v>
      </c>
      <c r="H898">
        <v>46191</v>
      </c>
      <c r="I898">
        <v>9238.2000000000007</v>
      </c>
      <c r="J898" t="s">
        <v>29</v>
      </c>
      <c r="K898" t="s">
        <v>41</v>
      </c>
      <c r="L898" t="s">
        <v>23</v>
      </c>
      <c r="M898" t="s">
        <v>21</v>
      </c>
      <c r="N898">
        <v>175525.8</v>
      </c>
    </row>
    <row r="899" spans="1:14" x14ac:dyDescent="0.3">
      <c r="A899" t="s">
        <v>939</v>
      </c>
      <c r="B899" s="1">
        <v>45164</v>
      </c>
      <c r="C899" t="s">
        <v>46</v>
      </c>
      <c r="D899" t="s">
        <v>43</v>
      </c>
      <c r="E899" t="s">
        <v>44</v>
      </c>
      <c r="F899" t="s">
        <v>28</v>
      </c>
      <c r="G899">
        <v>6</v>
      </c>
      <c r="H899">
        <v>41413</v>
      </c>
      <c r="I899">
        <v>49695.600000000006</v>
      </c>
      <c r="J899" t="s">
        <v>18</v>
      </c>
      <c r="K899" t="s">
        <v>19</v>
      </c>
      <c r="L899" t="s">
        <v>20</v>
      </c>
      <c r="M899" t="s">
        <v>24</v>
      </c>
      <c r="N899">
        <v>198782.4</v>
      </c>
    </row>
    <row r="900" spans="1:14" x14ac:dyDescent="0.3">
      <c r="A900" t="s">
        <v>940</v>
      </c>
      <c r="B900" s="1">
        <v>45289</v>
      </c>
      <c r="C900" t="s">
        <v>46</v>
      </c>
      <c r="D900" t="s">
        <v>43</v>
      </c>
      <c r="E900" t="s">
        <v>44</v>
      </c>
      <c r="F900" t="s">
        <v>35</v>
      </c>
      <c r="G900">
        <v>9</v>
      </c>
      <c r="H900">
        <v>21891</v>
      </c>
      <c r="I900">
        <v>19701.900000000001</v>
      </c>
      <c r="J900" t="s">
        <v>50</v>
      </c>
      <c r="K900" t="s">
        <v>30</v>
      </c>
      <c r="L900" t="s">
        <v>20</v>
      </c>
      <c r="M900" t="s">
        <v>33</v>
      </c>
      <c r="N900">
        <v>177317.1</v>
      </c>
    </row>
    <row r="901" spans="1:14" x14ac:dyDescent="0.3">
      <c r="A901" t="s">
        <v>941</v>
      </c>
      <c r="B901" s="1">
        <v>45165</v>
      </c>
      <c r="C901" t="s">
        <v>46</v>
      </c>
      <c r="D901" t="s">
        <v>43</v>
      </c>
      <c r="E901" t="s">
        <v>44</v>
      </c>
      <c r="F901" t="s">
        <v>47</v>
      </c>
      <c r="G901">
        <v>5</v>
      </c>
      <c r="H901">
        <v>25104</v>
      </c>
      <c r="I901">
        <v>0</v>
      </c>
      <c r="J901" t="s">
        <v>36</v>
      </c>
      <c r="K901" t="s">
        <v>41</v>
      </c>
      <c r="L901" t="s">
        <v>20</v>
      </c>
      <c r="M901" t="s">
        <v>21</v>
      </c>
      <c r="N901">
        <v>125520</v>
      </c>
    </row>
    <row r="902" spans="1:14" x14ac:dyDescent="0.3">
      <c r="A902" t="s">
        <v>942</v>
      </c>
      <c r="B902" s="1">
        <v>45200</v>
      </c>
      <c r="C902" t="s">
        <v>14</v>
      </c>
      <c r="D902" t="s">
        <v>43</v>
      </c>
      <c r="E902" t="s">
        <v>44</v>
      </c>
      <c r="F902" t="s">
        <v>28</v>
      </c>
      <c r="G902">
        <v>9</v>
      </c>
      <c r="H902">
        <v>43990</v>
      </c>
      <c r="I902">
        <v>59386.5</v>
      </c>
      <c r="J902" t="s">
        <v>18</v>
      </c>
      <c r="K902" t="s">
        <v>30</v>
      </c>
      <c r="L902" t="s">
        <v>37</v>
      </c>
      <c r="M902" t="s">
        <v>21</v>
      </c>
      <c r="N902">
        <v>336523.5</v>
      </c>
    </row>
    <row r="903" spans="1:14" x14ac:dyDescent="0.3">
      <c r="A903" t="s">
        <v>943</v>
      </c>
      <c r="B903" s="1">
        <v>45220</v>
      </c>
      <c r="C903" t="s">
        <v>39</v>
      </c>
      <c r="D903" t="s">
        <v>43</v>
      </c>
      <c r="E903" t="s">
        <v>44</v>
      </c>
      <c r="F903" t="s">
        <v>28</v>
      </c>
      <c r="G903">
        <v>5</v>
      </c>
      <c r="H903">
        <v>3244</v>
      </c>
      <c r="I903">
        <v>811</v>
      </c>
      <c r="J903" t="s">
        <v>36</v>
      </c>
      <c r="K903" t="s">
        <v>30</v>
      </c>
      <c r="L903" t="s">
        <v>20</v>
      </c>
      <c r="M903" t="s">
        <v>21</v>
      </c>
      <c r="N903">
        <v>15409</v>
      </c>
    </row>
    <row r="904" spans="1:14" x14ac:dyDescent="0.3">
      <c r="A904" t="s">
        <v>944</v>
      </c>
      <c r="B904" s="1">
        <v>45153</v>
      </c>
      <c r="C904" t="s">
        <v>46</v>
      </c>
      <c r="D904" t="s">
        <v>40</v>
      </c>
      <c r="E904" t="s">
        <v>44</v>
      </c>
      <c r="F904" t="s">
        <v>49</v>
      </c>
      <c r="G904">
        <v>8</v>
      </c>
      <c r="H904">
        <v>9812</v>
      </c>
      <c r="I904">
        <v>0</v>
      </c>
      <c r="J904" t="s">
        <v>29</v>
      </c>
      <c r="K904" t="s">
        <v>19</v>
      </c>
      <c r="L904" t="s">
        <v>23</v>
      </c>
      <c r="M904" t="s">
        <v>24</v>
      </c>
      <c r="N904">
        <v>78496</v>
      </c>
    </row>
    <row r="905" spans="1:14" x14ac:dyDescent="0.3">
      <c r="A905" t="s">
        <v>945</v>
      </c>
      <c r="B905" s="1">
        <v>44941</v>
      </c>
      <c r="C905" t="s">
        <v>32</v>
      </c>
      <c r="D905" t="s">
        <v>40</v>
      </c>
      <c r="E905" t="s">
        <v>44</v>
      </c>
      <c r="F905" t="s">
        <v>35</v>
      </c>
      <c r="G905">
        <v>1</v>
      </c>
      <c r="H905">
        <v>5836</v>
      </c>
      <c r="I905">
        <v>1167.2</v>
      </c>
      <c r="J905" t="s">
        <v>18</v>
      </c>
      <c r="K905" t="s">
        <v>30</v>
      </c>
      <c r="L905" t="s">
        <v>37</v>
      </c>
      <c r="M905" t="s">
        <v>21</v>
      </c>
      <c r="N905">
        <v>4668.8</v>
      </c>
    </row>
    <row r="906" spans="1:14" x14ac:dyDescent="0.3">
      <c r="A906" t="s">
        <v>946</v>
      </c>
      <c r="B906" s="1">
        <v>45118</v>
      </c>
      <c r="C906" t="s">
        <v>32</v>
      </c>
      <c r="D906" t="s">
        <v>15</v>
      </c>
      <c r="E906" t="s">
        <v>44</v>
      </c>
      <c r="F906" t="s">
        <v>17</v>
      </c>
      <c r="G906">
        <v>7</v>
      </c>
      <c r="H906">
        <v>11793</v>
      </c>
      <c r="I906">
        <v>4127.55</v>
      </c>
      <c r="J906" t="s">
        <v>36</v>
      </c>
      <c r="K906" t="s">
        <v>30</v>
      </c>
      <c r="L906" t="s">
        <v>37</v>
      </c>
      <c r="M906" t="s">
        <v>33</v>
      </c>
      <c r="N906">
        <v>78423.45</v>
      </c>
    </row>
    <row r="907" spans="1:14" x14ac:dyDescent="0.3">
      <c r="A907" t="s">
        <v>947</v>
      </c>
      <c r="B907" s="1">
        <v>45045</v>
      </c>
      <c r="C907" t="s">
        <v>26</v>
      </c>
      <c r="D907" t="s">
        <v>40</v>
      </c>
      <c r="E907" t="s">
        <v>16</v>
      </c>
      <c r="F907" t="s">
        <v>47</v>
      </c>
      <c r="G907">
        <v>4</v>
      </c>
      <c r="H907">
        <v>49147</v>
      </c>
      <c r="I907">
        <v>19658.800000000003</v>
      </c>
      <c r="J907" t="s">
        <v>50</v>
      </c>
      <c r="K907" t="s">
        <v>41</v>
      </c>
      <c r="L907" t="s">
        <v>20</v>
      </c>
      <c r="M907" t="s">
        <v>21</v>
      </c>
      <c r="N907">
        <v>176929.2</v>
      </c>
    </row>
    <row r="908" spans="1:14" x14ac:dyDescent="0.3">
      <c r="A908" t="s">
        <v>948</v>
      </c>
      <c r="B908" s="1">
        <v>44954</v>
      </c>
      <c r="C908" t="s">
        <v>39</v>
      </c>
      <c r="D908" t="s">
        <v>40</v>
      </c>
      <c r="E908" t="s">
        <v>27</v>
      </c>
      <c r="F908" t="s">
        <v>35</v>
      </c>
      <c r="G908">
        <v>5</v>
      </c>
      <c r="H908">
        <v>3092</v>
      </c>
      <c r="I908">
        <v>773</v>
      </c>
      <c r="J908" t="s">
        <v>29</v>
      </c>
      <c r="K908" t="s">
        <v>30</v>
      </c>
      <c r="L908" t="s">
        <v>37</v>
      </c>
      <c r="M908" t="s">
        <v>24</v>
      </c>
      <c r="N908">
        <v>14687</v>
      </c>
    </row>
    <row r="909" spans="1:14" x14ac:dyDescent="0.3">
      <c r="A909" t="s">
        <v>949</v>
      </c>
      <c r="B909" s="1">
        <v>45128</v>
      </c>
      <c r="C909" t="s">
        <v>46</v>
      </c>
      <c r="D909" t="s">
        <v>43</v>
      </c>
      <c r="E909" t="s">
        <v>44</v>
      </c>
      <c r="F909" t="s">
        <v>47</v>
      </c>
      <c r="G909">
        <v>6</v>
      </c>
      <c r="H909">
        <v>21872</v>
      </c>
      <c r="I909">
        <v>6561.6</v>
      </c>
      <c r="J909" t="s">
        <v>29</v>
      </c>
      <c r="K909" t="s">
        <v>19</v>
      </c>
      <c r="L909" t="s">
        <v>23</v>
      </c>
      <c r="M909" t="s">
        <v>21</v>
      </c>
      <c r="N909">
        <v>124670.39999999999</v>
      </c>
    </row>
    <row r="910" spans="1:14" x14ac:dyDescent="0.3">
      <c r="A910" t="s">
        <v>950</v>
      </c>
      <c r="B910" s="1">
        <v>44965</v>
      </c>
      <c r="C910" t="s">
        <v>32</v>
      </c>
      <c r="D910" t="s">
        <v>40</v>
      </c>
      <c r="E910" t="s">
        <v>27</v>
      </c>
      <c r="F910" t="s">
        <v>28</v>
      </c>
      <c r="G910">
        <v>5</v>
      </c>
      <c r="H910">
        <v>6012</v>
      </c>
      <c r="I910">
        <v>3006</v>
      </c>
      <c r="J910" t="s">
        <v>29</v>
      </c>
      <c r="K910" t="s">
        <v>19</v>
      </c>
      <c r="L910" t="s">
        <v>23</v>
      </c>
      <c r="M910" t="s">
        <v>24</v>
      </c>
      <c r="N910">
        <v>27054</v>
      </c>
    </row>
    <row r="911" spans="1:14" x14ac:dyDescent="0.3">
      <c r="A911" t="s">
        <v>951</v>
      </c>
      <c r="B911" s="1">
        <v>45199</v>
      </c>
      <c r="C911" t="s">
        <v>39</v>
      </c>
      <c r="D911" t="s">
        <v>43</v>
      </c>
      <c r="E911" t="s">
        <v>44</v>
      </c>
      <c r="F911" t="s">
        <v>49</v>
      </c>
      <c r="G911">
        <v>1</v>
      </c>
      <c r="H911">
        <v>31285</v>
      </c>
      <c r="I911">
        <v>3128.5</v>
      </c>
      <c r="J911" t="s">
        <v>50</v>
      </c>
      <c r="K911" t="s">
        <v>19</v>
      </c>
      <c r="L911" t="s">
        <v>37</v>
      </c>
      <c r="M911" t="s">
        <v>24</v>
      </c>
      <c r="N911">
        <v>28156.5</v>
      </c>
    </row>
    <row r="912" spans="1:14" x14ac:dyDescent="0.3">
      <c r="A912" t="s">
        <v>952</v>
      </c>
      <c r="B912" s="1">
        <v>45157</v>
      </c>
      <c r="C912" t="s">
        <v>26</v>
      </c>
      <c r="D912" t="s">
        <v>15</v>
      </c>
      <c r="E912" t="s">
        <v>44</v>
      </c>
      <c r="F912" t="s">
        <v>49</v>
      </c>
      <c r="G912">
        <v>9</v>
      </c>
      <c r="H912">
        <v>854</v>
      </c>
      <c r="I912">
        <v>384.3</v>
      </c>
      <c r="J912" t="s">
        <v>50</v>
      </c>
      <c r="K912" t="s">
        <v>30</v>
      </c>
      <c r="L912" t="s">
        <v>20</v>
      </c>
      <c r="M912" t="s">
        <v>33</v>
      </c>
      <c r="N912">
        <v>7301.7</v>
      </c>
    </row>
    <row r="913" spans="1:14" x14ac:dyDescent="0.3">
      <c r="A913" t="s">
        <v>953</v>
      </c>
      <c r="B913" s="1">
        <v>45012</v>
      </c>
      <c r="C913" t="s">
        <v>14</v>
      </c>
      <c r="D913" t="s">
        <v>15</v>
      </c>
      <c r="E913" t="s">
        <v>16</v>
      </c>
      <c r="F913" t="s">
        <v>17</v>
      </c>
      <c r="G913">
        <v>2</v>
      </c>
      <c r="H913">
        <v>17343</v>
      </c>
      <c r="I913">
        <v>3468.6000000000004</v>
      </c>
      <c r="J913" t="s">
        <v>18</v>
      </c>
      <c r="K913" t="s">
        <v>41</v>
      </c>
      <c r="L913" t="s">
        <v>20</v>
      </c>
      <c r="M913" t="s">
        <v>33</v>
      </c>
      <c r="N913">
        <v>31217.4</v>
      </c>
    </row>
    <row r="914" spans="1:14" x14ac:dyDescent="0.3">
      <c r="A914" t="s">
        <v>954</v>
      </c>
      <c r="B914" s="1">
        <v>45052</v>
      </c>
      <c r="C914" t="s">
        <v>39</v>
      </c>
      <c r="D914" t="s">
        <v>40</v>
      </c>
      <c r="E914" t="s">
        <v>16</v>
      </c>
      <c r="F914" t="s">
        <v>49</v>
      </c>
      <c r="G914">
        <v>9</v>
      </c>
      <c r="H914">
        <v>1998</v>
      </c>
      <c r="I914">
        <v>0</v>
      </c>
      <c r="J914" t="s">
        <v>50</v>
      </c>
      <c r="K914" t="s">
        <v>19</v>
      </c>
      <c r="L914" t="s">
        <v>37</v>
      </c>
      <c r="M914" t="s">
        <v>21</v>
      </c>
      <c r="N914">
        <v>17982</v>
      </c>
    </row>
    <row r="915" spans="1:14" x14ac:dyDescent="0.3">
      <c r="A915" t="s">
        <v>955</v>
      </c>
      <c r="B915" s="1">
        <v>45226</v>
      </c>
      <c r="C915" t="s">
        <v>39</v>
      </c>
      <c r="D915" t="s">
        <v>15</v>
      </c>
      <c r="E915" t="s">
        <v>27</v>
      </c>
      <c r="F915" t="s">
        <v>28</v>
      </c>
      <c r="G915">
        <v>2</v>
      </c>
      <c r="H915">
        <v>38127</v>
      </c>
      <c r="I915">
        <v>7625.4000000000005</v>
      </c>
      <c r="J915" t="s">
        <v>18</v>
      </c>
      <c r="K915" t="s">
        <v>30</v>
      </c>
      <c r="L915" t="s">
        <v>23</v>
      </c>
      <c r="M915" t="s">
        <v>24</v>
      </c>
      <c r="N915">
        <v>68628.600000000006</v>
      </c>
    </row>
    <row r="916" spans="1:14" x14ac:dyDescent="0.3">
      <c r="A916" t="s">
        <v>956</v>
      </c>
      <c r="B916" s="1">
        <v>44951</v>
      </c>
      <c r="C916" t="s">
        <v>14</v>
      </c>
      <c r="D916" t="s">
        <v>40</v>
      </c>
      <c r="E916" t="s">
        <v>16</v>
      </c>
      <c r="F916" t="s">
        <v>17</v>
      </c>
      <c r="G916">
        <v>9</v>
      </c>
      <c r="H916">
        <v>29287</v>
      </c>
      <c r="I916">
        <v>26358.300000000003</v>
      </c>
      <c r="J916" t="s">
        <v>29</v>
      </c>
      <c r="K916" t="s">
        <v>19</v>
      </c>
      <c r="L916" t="s">
        <v>37</v>
      </c>
      <c r="M916" t="s">
        <v>24</v>
      </c>
      <c r="N916">
        <v>237224.7</v>
      </c>
    </row>
    <row r="917" spans="1:14" x14ac:dyDescent="0.3">
      <c r="A917" t="s">
        <v>957</v>
      </c>
      <c r="B917" s="1">
        <v>45071</v>
      </c>
      <c r="C917" t="s">
        <v>39</v>
      </c>
      <c r="D917" t="s">
        <v>15</v>
      </c>
      <c r="E917" t="s">
        <v>16</v>
      </c>
      <c r="F917" t="s">
        <v>35</v>
      </c>
      <c r="G917">
        <v>6</v>
      </c>
      <c r="H917">
        <v>11818</v>
      </c>
      <c r="I917">
        <v>3545.4</v>
      </c>
      <c r="J917" t="s">
        <v>18</v>
      </c>
      <c r="K917" t="s">
        <v>19</v>
      </c>
      <c r="L917" t="s">
        <v>20</v>
      </c>
      <c r="M917" t="s">
        <v>33</v>
      </c>
      <c r="N917">
        <v>67362.599999999904</v>
      </c>
    </row>
    <row r="918" spans="1:14" x14ac:dyDescent="0.3">
      <c r="A918" t="s">
        <v>958</v>
      </c>
      <c r="B918" s="1">
        <v>44939</v>
      </c>
      <c r="C918" t="s">
        <v>26</v>
      </c>
      <c r="D918" t="s">
        <v>43</v>
      </c>
      <c r="E918" t="s">
        <v>27</v>
      </c>
      <c r="F918" t="s">
        <v>49</v>
      </c>
      <c r="G918">
        <v>9</v>
      </c>
      <c r="H918">
        <v>8646</v>
      </c>
      <c r="I918">
        <v>0</v>
      </c>
      <c r="J918" t="s">
        <v>36</v>
      </c>
      <c r="K918" t="s">
        <v>41</v>
      </c>
      <c r="L918" t="s">
        <v>20</v>
      </c>
      <c r="M918" t="s">
        <v>33</v>
      </c>
      <c r="N918">
        <v>77814</v>
      </c>
    </row>
    <row r="919" spans="1:14" x14ac:dyDescent="0.3">
      <c r="A919" t="s">
        <v>959</v>
      </c>
      <c r="B919" s="1">
        <v>45138</v>
      </c>
      <c r="C919" t="s">
        <v>26</v>
      </c>
      <c r="D919" t="s">
        <v>43</v>
      </c>
      <c r="E919" t="s">
        <v>16</v>
      </c>
      <c r="F919" t="s">
        <v>17</v>
      </c>
      <c r="G919">
        <v>6</v>
      </c>
      <c r="H919">
        <v>21846</v>
      </c>
      <c r="I919">
        <v>19661.399999999998</v>
      </c>
      <c r="J919" t="s">
        <v>29</v>
      </c>
      <c r="K919" t="s">
        <v>19</v>
      </c>
      <c r="L919" t="s">
        <v>37</v>
      </c>
      <c r="M919" t="s">
        <v>21</v>
      </c>
      <c r="N919">
        <v>111414.599999999</v>
      </c>
    </row>
    <row r="920" spans="1:14" x14ac:dyDescent="0.3">
      <c r="A920" t="s">
        <v>960</v>
      </c>
      <c r="B920" s="1">
        <v>44951</v>
      </c>
      <c r="C920" t="s">
        <v>14</v>
      </c>
      <c r="D920" t="s">
        <v>43</v>
      </c>
      <c r="E920" t="s">
        <v>44</v>
      </c>
      <c r="F920" t="s">
        <v>28</v>
      </c>
      <c r="G920">
        <v>6</v>
      </c>
      <c r="H920">
        <v>36791</v>
      </c>
      <c r="I920">
        <v>33111.9</v>
      </c>
      <c r="J920" t="s">
        <v>29</v>
      </c>
      <c r="K920" t="s">
        <v>41</v>
      </c>
      <c r="L920" t="s">
        <v>23</v>
      </c>
      <c r="M920" t="s">
        <v>24</v>
      </c>
      <c r="N920">
        <v>187634.1</v>
      </c>
    </row>
    <row r="921" spans="1:14" x14ac:dyDescent="0.3">
      <c r="A921" t="s">
        <v>961</v>
      </c>
      <c r="B921" s="1">
        <v>44994</v>
      </c>
      <c r="C921" t="s">
        <v>46</v>
      </c>
      <c r="D921" t="s">
        <v>43</v>
      </c>
      <c r="E921" t="s">
        <v>27</v>
      </c>
      <c r="F921" t="s">
        <v>47</v>
      </c>
      <c r="G921">
        <v>2</v>
      </c>
      <c r="H921">
        <v>49067</v>
      </c>
      <c r="I921">
        <v>19626.8</v>
      </c>
      <c r="J921" t="s">
        <v>18</v>
      </c>
      <c r="K921" t="s">
        <v>30</v>
      </c>
      <c r="L921" t="s">
        <v>37</v>
      </c>
      <c r="M921" t="s">
        <v>33</v>
      </c>
      <c r="N921">
        <v>78507.199999999997</v>
      </c>
    </row>
    <row r="922" spans="1:14" x14ac:dyDescent="0.3">
      <c r="A922" t="s">
        <v>962</v>
      </c>
      <c r="B922" s="1">
        <v>44993</v>
      </c>
      <c r="C922" t="s">
        <v>32</v>
      </c>
      <c r="D922" t="s">
        <v>40</v>
      </c>
      <c r="E922" t="s">
        <v>27</v>
      </c>
      <c r="F922" t="s">
        <v>47</v>
      </c>
      <c r="G922">
        <v>8</v>
      </c>
      <c r="H922">
        <v>27400</v>
      </c>
      <c r="I922">
        <v>21920</v>
      </c>
      <c r="J922" t="s">
        <v>29</v>
      </c>
      <c r="K922" t="s">
        <v>19</v>
      </c>
      <c r="L922" t="s">
        <v>23</v>
      </c>
      <c r="M922" t="s">
        <v>21</v>
      </c>
      <c r="N922">
        <v>197280</v>
      </c>
    </row>
    <row r="923" spans="1:14" x14ac:dyDescent="0.3">
      <c r="A923" t="s">
        <v>963</v>
      </c>
      <c r="B923" s="1">
        <v>45159</v>
      </c>
      <c r="C923" t="s">
        <v>46</v>
      </c>
      <c r="D923" t="s">
        <v>15</v>
      </c>
      <c r="E923" t="s">
        <v>44</v>
      </c>
      <c r="F923" t="s">
        <v>28</v>
      </c>
      <c r="G923">
        <v>3</v>
      </c>
      <c r="H923">
        <v>29771</v>
      </c>
      <c r="I923">
        <v>8931.3000000000011</v>
      </c>
      <c r="J923" t="s">
        <v>50</v>
      </c>
      <c r="K923" t="s">
        <v>30</v>
      </c>
      <c r="L923" t="s">
        <v>23</v>
      </c>
      <c r="M923" t="s">
        <v>24</v>
      </c>
      <c r="N923">
        <v>80381.7</v>
      </c>
    </row>
    <row r="924" spans="1:14" x14ac:dyDescent="0.3">
      <c r="A924" t="s">
        <v>964</v>
      </c>
      <c r="B924" s="1">
        <v>45035</v>
      </c>
      <c r="C924" t="s">
        <v>39</v>
      </c>
      <c r="D924" t="s">
        <v>40</v>
      </c>
      <c r="E924" t="s">
        <v>16</v>
      </c>
      <c r="F924" t="s">
        <v>28</v>
      </c>
      <c r="G924">
        <v>7</v>
      </c>
      <c r="H924">
        <v>22738</v>
      </c>
      <c r="I924">
        <v>0</v>
      </c>
      <c r="J924" t="s">
        <v>36</v>
      </c>
      <c r="K924" t="s">
        <v>30</v>
      </c>
      <c r="L924" t="s">
        <v>37</v>
      </c>
      <c r="M924" t="s">
        <v>24</v>
      </c>
      <c r="N924">
        <v>159166</v>
      </c>
    </row>
    <row r="925" spans="1:14" x14ac:dyDescent="0.3">
      <c r="A925" t="s">
        <v>965</v>
      </c>
      <c r="B925" s="1">
        <v>45072</v>
      </c>
      <c r="C925" t="s">
        <v>32</v>
      </c>
      <c r="D925" t="s">
        <v>43</v>
      </c>
      <c r="E925" t="s">
        <v>27</v>
      </c>
      <c r="F925" t="s">
        <v>47</v>
      </c>
      <c r="G925">
        <v>5</v>
      </c>
      <c r="H925">
        <v>40755</v>
      </c>
      <c r="I925">
        <v>30566.25</v>
      </c>
      <c r="J925" t="s">
        <v>18</v>
      </c>
      <c r="K925" t="s">
        <v>30</v>
      </c>
      <c r="L925" t="s">
        <v>37</v>
      </c>
      <c r="M925" t="s">
        <v>33</v>
      </c>
      <c r="N925">
        <v>173208.75</v>
      </c>
    </row>
    <row r="926" spans="1:14" x14ac:dyDescent="0.3">
      <c r="A926" t="s">
        <v>966</v>
      </c>
      <c r="B926" s="1">
        <v>45037</v>
      </c>
      <c r="C926" t="s">
        <v>14</v>
      </c>
      <c r="D926" t="s">
        <v>40</v>
      </c>
      <c r="E926" t="s">
        <v>27</v>
      </c>
      <c r="F926" t="s">
        <v>17</v>
      </c>
      <c r="G926">
        <v>3</v>
      </c>
      <c r="H926">
        <v>44164</v>
      </c>
      <c r="I926">
        <v>26498.400000000001</v>
      </c>
      <c r="J926" t="s">
        <v>18</v>
      </c>
      <c r="K926" t="s">
        <v>19</v>
      </c>
      <c r="L926" t="s">
        <v>23</v>
      </c>
      <c r="M926" t="s">
        <v>21</v>
      </c>
      <c r="N926">
        <v>105993.60000000001</v>
      </c>
    </row>
    <row r="927" spans="1:14" x14ac:dyDescent="0.3">
      <c r="A927" t="s">
        <v>967</v>
      </c>
      <c r="B927" s="1">
        <v>45154</v>
      </c>
      <c r="C927" t="s">
        <v>14</v>
      </c>
      <c r="D927" t="s">
        <v>15</v>
      </c>
      <c r="E927" t="s">
        <v>44</v>
      </c>
      <c r="F927" t="s">
        <v>47</v>
      </c>
      <c r="G927">
        <v>1</v>
      </c>
      <c r="H927">
        <v>21100</v>
      </c>
      <c r="I927">
        <v>0</v>
      </c>
      <c r="J927" t="s">
        <v>29</v>
      </c>
      <c r="K927" t="s">
        <v>41</v>
      </c>
      <c r="L927" t="s">
        <v>23</v>
      </c>
      <c r="M927" t="s">
        <v>33</v>
      </c>
      <c r="N927">
        <v>21100</v>
      </c>
    </row>
    <row r="928" spans="1:14" x14ac:dyDescent="0.3">
      <c r="A928" t="s">
        <v>968</v>
      </c>
      <c r="B928" s="1">
        <v>45037</v>
      </c>
      <c r="C928" t="s">
        <v>32</v>
      </c>
      <c r="D928" t="s">
        <v>40</v>
      </c>
      <c r="E928" t="s">
        <v>44</v>
      </c>
      <c r="F928" t="s">
        <v>28</v>
      </c>
      <c r="G928">
        <v>8</v>
      </c>
      <c r="H928">
        <v>22556</v>
      </c>
      <c r="I928">
        <v>18044.8</v>
      </c>
      <c r="J928" t="s">
        <v>50</v>
      </c>
      <c r="K928" t="s">
        <v>19</v>
      </c>
      <c r="L928" t="s">
        <v>23</v>
      </c>
      <c r="M928" t="s">
        <v>21</v>
      </c>
      <c r="N928">
        <v>162403.20000000001</v>
      </c>
    </row>
    <row r="929" spans="1:14" x14ac:dyDescent="0.3">
      <c r="A929" t="s">
        <v>969</v>
      </c>
      <c r="B929" s="1">
        <v>44960</v>
      </c>
      <c r="C929" t="s">
        <v>26</v>
      </c>
      <c r="D929" t="s">
        <v>15</v>
      </c>
      <c r="E929" t="s">
        <v>16</v>
      </c>
      <c r="F929" t="s">
        <v>49</v>
      </c>
      <c r="G929">
        <v>3</v>
      </c>
      <c r="H929">
        <v>23223</v>
      </c>
      <c r="I929">
        <v>10450.35</v>
      </c>
      <c r="J929" t="s">
        <v>29</v>
      </c>
      <c r="K929" t="s">
        <v>30</v>
      </c>
      <c r="L929" t="s">
        <v>23</v>
      </c>
      <c r="M929" t="s">
        <v>24</v>
      </c>
      <c r="N929">
        <v>59218.65</v>
      </c>
    </row>
    <row r="930" spans="1:14" x14ac:dyDescent="0.3">
      <c r="A930" t="s">
        <v>970</v>
      </c>
      <c r="B930" s="1">
        <v>45037</v>
      </c>
      <c r="C930" t="s">
        <v>32</v>
      </c>
      <c r="D930" t="s">
        <v>40</v>
      </c>
      <c r="E930" t="s">
        <v>27</v>
      </c>
      <c r="F930" t="s">
        <v>35</v>
      </c>
      <c r="G930">
        <v>2</v>
      </c>
      <c r="H930">
        <v>39348</v>
      </c>
      <c r="I930">
        <v>15739.2</v>
      </c>
      <c r="J930" t="s">
        <v>29</v>
      </c>
      <c r="K930" t="s">
        <v>41</v>
      </c>
      <c r="L930" t="s">
        <v>20</v>
      </c>
      <c r="M930" t="s">
        <v>21</v>
      </c>
      <c r="N930">
        <v>62956.800000000003</v>
      </c>
    </row>
    <row r="931" spans="1:14" x14ac:dyDescent="0.3">
      <c r="A931" t="s">
        <v>971</v>
      </c>
      <c r="B931" s="1">
        <v>45190</v>
      </c>
      <c r="C931" t="s">
        <v>39</v>
      </c>
      <c r="D931" t="s">
        <v>15</v>
      </c>
      <c r="E931" t="s">
        <v>16</v>
      </c>
      <c r="F931" t="s">
        <v>49</v>
      </c>
      <c r="G931">
        <v>1</v>
      </c>
      <c r="H931">
        <v>17592</v>
      </c>
      <c r="I931">
        <v>879.6</v>
      </c>
      <c r="J931" t="s">
        <v>18</v>
      </c>
      <c r="K931" t="s">
        <v>30</v>
      </c>
      <c r="L931" t="s">
        <v>37</v>
      </c>
      <c r="M931" t="s">
        <v>21</v>
      </c>
      <c r="N931">
        <v>16712.3999999999</v>
      </c>
    </row>
    <row r="932" spans="1:14" x14ac:dyDescent="0.3">
      <c r="A932" t="s">
        <v>972</v>
      </c>
      <c r="B932" s="1">
        <v>45162</v>
      </c>
      <c r="C932" t="s">
        <v>26</v>
      </c>
      <c r="D932" t="s">
        <v>15</v>
      </c>
      <c r="E932" t="s">
        <v>16</v>
      </c>
      <c r="F932" t="s">
        <v>49</v>
      </c>
      <c r="G932">
        <v>4</v>
      </c>
      <c r="H932">
        <v>20898</v>
      </c>
      <c r="I932">
        <v>12538.8</v>
      </c>
      <c r="J932" t="s">
        <v>29</v>
      </c>
      <c r="K932" t="s">
        <v>41</v>
      </c>
      <c r="L932" t="s">
        <v>23</v>
      </c>
      <c r="M932" t="s">
        <v>21</v>
      </c>
      <c r="N932">
        <v>71053.2</v>
      </c>
    </row>
    <row r="933" spans="1:14" x14ac:dyDescent="0.3">
      <c r="A933" t="s">
        <v>973</v>
      </c>
      <c r="B933" s="1">
        <v>45009</v>
      </c>
      <c r="C933" t="s">
        <v>14</v>
      </c>
      <c r="D933" t="s">
        <v>43</v>
      </c>
      <c r="E933" t="s">
        <v>44</v>
      </c>
      <c r="F933" t="s">
        <v>28</v>
      </c>
      <c r="G933">
        <v>8</v>
      </c>
      <c r="H933">
        <v>42670</v>
      </c>
      <c r="I933">
        <v>68272</v>
      </c>
      <c r="J933" t="s">
        <v>36</v>
      </c>
      <c r="K933" t="s">
        <v>19</v>
      </c>
      <c r="L933" t="s">
        <v>37</v>
      </c>
      <c r="M933" t="s">
        <v>21</v>
      </c>
      <c r="N933">
        <v>273088</v>
      </c>
    </row>
    <row r="934" spans="1:14" x14ac:dyDescent="0.3">
      <c r="A934" t="s">
        <v>974</v>
      </c>
      <c r="B934" s="1">
        <v>44968</v>
      </c>
      <c r="C934" t="s">
        <v>32</v>
      </c>
      <c r="D934" t="s">
        <v>15</v>
      </c>
      <c r="E934" t="s">
        <v>27</v>
      </c>
      <c r="F934" t="s">
        <v>47</v>
      </c>
      <c r="G934">
        <v>3</v>
      </c>
      <c r="H934">
        <v>26735</v>
      </c>
      <c r="I934">
        <v>0</v>
      </c>
      <c r="J934" t="s">
        <v>29</v>
      </c>
      <c r="K934" t="s">
        <v>41</v>
      </c>
      <c r="L934" t="s">
        <v>23</v>
      </c>
      <c r="M934" t="s">
        <v>21</v>
      </c>
      <c r="N934">
        <v>80205</v>
      </c>
    </row>
    <row r="935" spans="1:14" x14ac:dyDescent="0.3">
      <c r="A935" t="s">
        <v>975</v>
      </c>
      <c r="B935" s="1">
        <v>45027</v>
      </c>
      <c r="C935" t="s">
        <v>46</v>
      </c>
      <c r="D935" t="s">
        <v>43</v>
      </c>
      <c r="E935" t="s">
        <v>27</v>
      </c>
      <c r="F935" t="s">
        <v>17</v>
      </c>
      <c r="G935">
        <v>1</v>
      </c>
      <c r="H935">
        <v>35650</v>
      </c>
      <c r="I935">
        <v>1782.5</v>
      </c>
      <c r="J935" t="s">
        <v>29</v>
      </c>
      <c r="K935" t="s">
        <v>19</v>
      </c>
      <c r="L935" t="s">
        <v>37</v>
      </c>
      <c r="M935" t="s">
        <v>33</v>
      </c>
      <c r="N935">
        <v>33867.5</v>
      </c>
    </row>
    <row r="936" spans="1:14" x14ac:dyDescent="0.3">
      <c r="A936" t="s">
        <v>976</v>
      </c>
      <c r="B936" s="1">
        <v>44932</v>
      </c>
      <c r="C936" t="s">
        <v>46</v>
      </c>
      <c r="D936" t="s">
        <v>43</v>
      </c>
      <c r="E936" t="s">
        <v>27</v>
      </c>
      <c r="F936" t="s">
        <v>49</v>
      </c>
      <c r="G936">
        <v>4</v>
      </c>
      <c r="H936">
        <v>33957</v>
      </c>
      <c r="I936">
        <v>27165.600000000002</v>
      </c>
      <c r="J936" t="s">
        <v>18</v>
      </c>
      <c r="K936" t="s">
        <v>30</v>
      </c>
      <c r="L936" t="s">
        <v>37</v>
      </c>
      <c r="M936" t="s">
        <v>21</v>
      </c>
      <c r="N936">
        <v>108662.39999999999</v>
      </c>
    </row>
    <row r="937" spans="1:14" x14ac:dyDescent="0.3">
      <c r="A937" t="s">
        <v>977</v>
      </c>
      <c r="B937" s="1">
        <v>45106</v>
      </c>
      <c r="C937" t="s">
        <v>39</v>
      </c>
      <c r="D937" t="s">
        <v>43</v>
      </c>
      <c r="E937" t="s">
        <v>44</v>
      </c>
      <c r="F937" t="s">
        <v>47</v>
      </c>
      <c r="G937">
        <v>9</v>
      </c>
      <c r="H937">
        <v>12676</v>
      </c>
      <c r="I937">
        <v>22816.800000000003</v>
      </c>
      <c r="J937" t="s">
        <v>29</v>
      </c>
      <c r="K937" t="s">
        <v>41</v>
      </c>
      <c r="L937" t="s">
        <v>23</v>
      </c>
      <c r="M937" t="s">
        <v>21</v>
      </c>
      <c r="N937">
        <v>91267.199999999997</v>
      </c>
    </row>
    <row r="938" spans="1:14" x14ac:dyDescent="0.3">
      <c r="A938" t="s">
        <v>978</v>
      </c>
      <c r="B938" s="1">
        <v>45208</v>
      </c>
      <c r="C938" t="s">
        <v>46</v>
      </c>
      <c r="D938" t="s">
        <v>40</v>
      </c>
      <c r="E938" t="s">
        <v>44</v>
      </c>
      <c r="F938" t="s">
        <v>17</v>
      </c>
      <c r="G938">
        <v>1</v>
      </c>
      <c r="H938">
        <v>41414</v>
      </c>
      <c r="I938">
        <v>4141.4000000000005</v>
      </c>
      <c r="J938" t="s">
        <v>50</v>
      </c>
      <c r="K938" t="s">
        <v>30</v>
      </c>
      <c r="L938" t="s">
        <v>23</v>
      </c>
      <c r="M938" t="s">
        <v>24</v>
      </c>
      <c r="N938">
        <v>37272.6</v>
      </c>
    </row>
    <row r="939" spans="1:14" x14ac:dyDescent="0.3">
      <c r="A939" t="s">
        <v>979</v>
      </c>
      <c r="B939" s="1">
        <v>45246</v>
      </c>
      <c r="C939" t="s">
        <v>32</v>
      </c>
      <c r="D939" t="s">
        <v>40</v>
      </c>
      <c r="E939" t="s">
        <v>44</v>
      </c>
      <c r="F939" t="s">
        <v>49</v>
      </c>
      <c r="G939">
        <v>2</v>
      </c>
      <c r="H939">
        <v>4911</v>
      </c>
      <c r="I939">
        <v>1473.3</v>
      </c>
      <c r="J939" t="s">
        <v>18</v>
      </c>
      <c r="K939" t="s">
        <v>41</v>
      </c>
      <c r="L939" t="s">
        <v>37</v>
      </c>
      <c r="M939" t="s">
        <v>21</v>
      </c>
      <c r="N939">
        <v>8348.6999999999898</v>
      </c>
    </row>
    <row r="940" spans="1:14" x14ac:dyDescent="0.3">
      <c r="A940" t="s">
        <v>980</v>
      </c>
      <c r="B940" s="1">
        <v>45152</v>
      </c>
      <c r="C940" t="s">
        <v>32</v>
      </c>
      <c r="D940" t="s">
        <v>40</v>
      </c>
      <c r="E940" t="s">
        <v>44</v>
      </c>
      <c r="F940" t="s">
        <v>17</v>
      </c>
      <c r="G940">
        <v>9</v>
      </c>
      <c r="H940">
        <v>6679</v>
      </c>
      <c r="I940">
        <v>6011.1</v>
      </c>
      <c r="J940" t="s">
        <v>29</v>
      </c>
      <c r="K940" t="s">
        <v>19</v>
      </c>
      <c r="L940" t="s">
        <v>37</v>
      </c>
      <c r="M940" t="s">
        <v>24</v>
      </c>
      <c r="N940">
        <v>54099.9</v>
      </c>
    </row>
    <row r="941" spans="1:14" x14ac:dyDescent="0.3">
      <c r="A941" t="s">
        <v>981</v>
      </c>
      <c r="B941" s="1">
        <v>45241</v>
      </c>
      <c r="C941" t="s">
        <v>46</v>
      </c>
      <c r="D941" t="s">
        <v>40</v>
      </c>
      <c r="E941" t="s">
        <v>44</v>
      </c>
      <c r="F941" t="s">
        <v>47</v>
      </c>
      <c r="G941">
        <v>2</v>
      </c>
      <c r="H941">
        <v>31590</v>
      </c>
      <c r="I941">
        <v>3159</v>
      </c>
      <c r="J941" t="s">
        <v>36</v>
      </c>
      <c r="K941" t="s">
        <v>41</v>
      </c>
      <c r="L941" t="s">
        <v>37</v>
      </c>
      <c r="M941" t="s">
        <v>33</v>
      </c>
      <c r="N941">
        <v>60021</v>
      </c>
    </row>
    <row r="942" spans="1:14" x14ac:dyDescent="0.3">
      <c r="A942" t="s">
        <v>982</v>
      </c>
      <c r="B942" s="1">
        <v>45291</v>
      </c>
      <c r="C942" t="s">
        <v>32</v>
      </c>
      <c r="D942" t="s">
        <v>15</v>
      </c>
      <c r="E942" t="s">
        <v>27</v>
      </c>
      <c r="F942" t="s">
        <v>35</v>
      </c>
      <c r="G942">
        <v>3</v>
      </c>
      <c r="H942">
        <v>13361</v>
      </c>
      <c r="I942">
        <v>8016.6</v>
      </c>
      <c r="J942" t="s">
        <v>36</v>
      </c>
      <c r="K942" t="s">
        <v>41</v>
      </c>
      <c r="L942" t="s">
        <v>20</v>
      </c>
      <c r="M942" t="s">
        <v>33</v>
      </c>
      <c r="N942">
        <v>32066.400000000001</v>
      </c>
    </row>
    <row r="943" spans="1:14" x14ac:dyDescent="0.3">
      <c r="A943" t="s">
        <v>983</v>
      </c>
      <c r="B943" s="1">
        <v>45155</v>
      </c>
      <c r="C943" t="s">
        <v>39</v>
      </c>
      <c r="D943" t="s">
        <v>15</v>
      </c>
      <c r="E943" t="s">
        <v>16</v>
      </c>
      <c r="F943" t="s">
        <v>47</v>
      </c>
      <c r="G943">
        <v>7</v>
      </c>
      <c r="H943">
        <v>32352</v>
      </c>
      <c r="I943">
        <v>22646.400000000001</v>
      </c>
      <c r="J943" t="s">
        <v>18</v>
      </c>
      <c r="K943" t="s">
        <v>19</v>
      </c>
      <c r="L943" t="s">
        <v>23</v>
      </c>
      <c r="M943" t="s">
        <v>21</v>
      </c>
      <c r="N943">
        <v>203817.60000000001</v>
      </c>
    </row>
    <row r="944" spans="1:14" x14ac:dyDescent="0.3">
      <c r="A944" t="s">
        <v>984</v>
      </c>
      <c r="B944" s="1">
        <v>45215</v>
      </c>
      <c r="C944" t="s">
        <v>26</v>
      </c>
      <c r="D944" t="s">
        <v>40</v>
      </c>
      <c r="E944" t="s">
        <v>27</v>
      </c>
      <c r="F944" t="s">
        <v>28</v>
      </c>
      <c r="G944">
        <v>3</v>
      </c>
      <c r="H944">
        <v>14835</v>
      </c>
      <c r="I944">
        <v>6675.75</v>
      </c>
      <c r="J944" t="s">
        <v>18</v>
      </c>
      <c r="K944" t="s">
        <v>19</v>
      </c>
      <c r="L944" t="s">
        <v>20</v>
      </c>
      <c r="M944" t="s">
        <v>33</v>
      </c>
      <c r="N944">
        <v>37829.25</v>
      </c>
    </row>
    <row r="945" spans="1:14" x14ac:dyDescent="0.3">
      <c r="A945" t="s">
        <v>985</v>
      </c>
      <c r="B945" s="1">
        <v>45076</v>
      </c>
      <c r="C945" t="s">
        <v>39</v>
      </c>
      <c r="D945" t="s">
        <v>15</v>
      </c>
      <c r="E945" t="s">
        <v>16</v>
      </c>
      <c r="F945" t="s">
        <v>17</v>
      </c>
      <c r="G945">
        <v>9</v>
      </c>
      <c r="H945">
        <v>41043</v>
      </c>
      <c r="I945">
        <v>18469.350000000002</v>
      </c>
      <c r="J945" t="s">
        <v>29</v>
      </c>
      <c r="K945" t="s">
        <v>19</v>
      </c>
      <c r="L945" t="s">
        <v>20</v>
      </c>
      <c r="M945" t="s">
        <v>21</v>
      </c>
      <c r="N945">
        <v>350917.64999999898</v>
      </c>
    </row>
    <row r="946" spans="1:14" x14ac:dyDescent="0.3">
      <c r="A946" t="s">
        <v>986</v>
      </c>
      <c r="B946" s="1">
        <v>45203</v>
      </c>
      <c r="C946" t="s">
        <v>39</v>
      </c>
      <c r="D946" t="s">
        <v>15</v>
      </c>
      <c r="E946" t="s">
        <v>44</v>
      </c>
      <c r="F946" t="s">
        <v>35</v>
      </c>
      <c r="G946">
        <v>6</v>
      </c>
      <c r="H946">
        <v>30497</v>
      </c>
      <c r="I946">
        <v>0</v>
      </c>
      <c r="J946" t="s">
        <v>50</v>
      </c>
      <c r="K946" t="s">
        <v>41</v>
      </c>
      <c r="L946" t="s">
        <v>23</v>
      </c>
      <c r="M946" t="s">
        <v>33</v>
      </c>
      <c r="N946">
        <v>182982</v>
      </c>
    </row>
    <row r="947" spans="1:14" x14ac:dyDescent="0.3">
      <c r="A947" t="s">
        <v>987</v>
      </c>
      <c r="B947" s="1">
        <v>45124</v>
      </c>
      <c r="C947" t="s">
        <v>32</v>
      </c>
      <c r="D947" t="s">
        <v>43</v>
      </c>
      <c r="E947" t="s">
        <v>16</v>
      </c>
      <c r="F947" t="s">
        <v>17</v>
      </c>
      <c r="G947">
        <v>3</v>
      </c>
      <c r="H947">
        <v>21036</v>
      </c>
      <c r="I947">
        <v>6310.8</v>
      </c>
      <c r="J947" t="s">
        <v>29</v>
      </c>
      <c r="K947" t="s">
        <v>30</v>
      </c>
      <c r="L947" t="s">
        <v>23</v>
      </c>
      <c r="M947" t="s">
        <v>21</v>
      </c>
      <c r="N947">
        <v>56797.2</v>
      </c>
    </row>
    <row r="948" spans="1:14" x14ac:dyDescent="0.3">
      <c r="A948" t="s">
        <v>988</v>
      </c>
      <c r="B948" s="1">
        <v>44996</v>
      </c>
      <c r="C948" t="s">
        <v>26</v>
      </c>
      <c r="D948" t="s">
        <v>43</v>
      </c>
      <c r="E948" t="s">
        <v>27</v>
      </c>
      <c r="F948" t="s">
        <v>17</v>
      </c>
      <c r="G948">
        <v>9</v>
      </c>
      <c r="H948">
        <v>25031</v>
      </c>
      <c r="I948">
        <v>11263.95</v>
      </c>
      <c r="J948" t="s">
        <v>36</v>
      </c>
      <c r="K948" t="s">
        <v>41</v>
      </c>
      <c r="L948" t="s">
        <v>20</v>
      </c>
      <c r="M948" t="s">
        <v>21</v>
      </c>
      <c r="N948">
        <v>214015.05</v>
      </c>
    </row>
    <row r="949" spans="1:14" x14ac:dyDescent="0.3">
      <c r="A949" t="s">
        <v>989</v>
      </c>
      <c r="B949" s="1">
        <v>45038</v>
      </c>
      <c r="C949" t="s">
        <v>32</v>
      </c>
      <c r="D949" t="s">
        <v>43</v>
      </c>
      <c r="E949" t="s">
        <v>27</v>
      </c>
      <c r="F949" t="s">
        <v>49</v>
      </c>
      <c r="G949">
        <v>1</v>
      </c>
      <c r="H949">
        <v>1207</v>
      </c>
      <c r="I949">
        <v>0</v>
      </c>
      <c r="J949" t="s">
        <v>50</v>
      </c>
      <c r="K949" t="s">
        <v>41</v>
      </c>
      <c r="L949" t="s">
        <v>23</v>
      </c>
      <c r="M949" t="s">
        <v>24</v>
      </c>
      <c r="N949">
        <v>1207</v>
      </c>
    </row>
    <row r="950" spans="1:14" x14ac:dyDescent="0.3">
      <c r="A950" t="s">
        <v>990</v>
      </c>
      <c r="B950" s="1">
        <v>44930</v>
      </c>
      <c r="C950" t="s">
        <v>14</v>
      </c>
      <c r="D950" t="s">
        <v>43</v>
      </c>
      <c r="E950" t="s">
        <v>16</v>
      </c>
      <c r="F950" t="s">
        <v>28</v>
      </c>
      <c r="G950">
        <v>3</v>
      </c>
      <c r="H950">
        <v>26531</v>
      </c>
      <c r="I950">
        <v>7959.3</v>
      </c>
      <c r="J950" t="s">
        <v>50</v>
      </c>
      <c r="K950" t="s">
        <v>30</v>
      </c>
      <c r="L950" t="s">
        <v>37</v>
      </c>
      <c r="M950" t="s">
        <v>24</v>
      </c>
      <c r="N950">
        <v>71633.7</v>
      </c>
    </row>
    <row r="951" spans="1:14" x14ac:dyDescent="0.3">
      <c r="A951" t="s">
        <v>991</v>
      </c>
      <c r="B951" s="1">
        <v>45276</v>
      </c>
      <c r="C951" t="s">
        <v>32</v>
      </c>
      <c r="D951" t="s">
        <v>15</v>
      </c>
      <c r="E951" t="s">
        <v>44</v>
      </c>
      <c r="F951" t="s">
        <v>17</v>
      </c>
      <c r="G951">
        <v>1</v>
      </c>
      <c r="H951">
        <v>40656</v>
      </c>
      <c r="I951">
        <v>2032.8000000000002</v>
      </c>
      <c r="J951" t="s">
        <v>50</v>
      </c>
      <c r="K951" t="s">
        <v>19</v>
      </c>
      <c r="L951" t="s">
        <v>37</v>
      </c>
      <c r="M951" t="s">
        <v>24</v>
      </c>
      <c r="N951">
        <v>38623.199999999997</v>
      </c>
    </row>
    <row r="952" spans="1:14" x14ac:dyDescent="0.3">
      <c r="A952" t="s">
        <v>992</v>
      </c>
      <c r="B952" s="1">
        <v>45257</v>
      </c>
      <c r="C952" t="s">
        <v>32</v>
      </c>
      <c r="D952" t="s">
        <v>40</v>
      </c>
      <c r="E952" t="s">
        <v>44</v>
      </c>
      <c r="F952" t="s">
        <v>47</v>
      </c>
      <c r="G952">
        <v>2</v>
      </c>
      <c r="H952">
        <v>10963</v>
      </c>
      <c r="I952">
        <v>1096.3</v>
      </c>
      <c r="J952" t="s">
        <v>29</v>
      </c>
      <c r="K952" t="s">
        <v>41</v>
      </c>
      <c r="L952" t="s">
        <v>20</v>
      </c>
      <c r="M952" t="s">
        <v>24</v>
      </c>
      <c r="N952">
        <v>20829.7</v>
      </c>
    </row>
    <row r="953" spans="1:14" x14ac:dyDescent="0.3">
      <c r="A953" t="s">
        <v>993</v>
      </c>
      <c r="B953" s="1">
        <v>45244</v>
      </c>
      <c r="C953" t="s">
        <v>32</v>
      </c>
      <c r="D953" t="s">
        <v>15</v>
      </c>
      <c r="E953" t="s">
        <v>27</v>
      </c>
      <c r="F953" t="s">
        <v>47</v>
      </c>
      <c r="G953">
        <v>8</v>
      </c>
      <c r="H953">
        <v>4108</v>
      </c>
      <c r="I953">
        <v>3286.4</v>
      </c>
      <c r="J953" t="s">
        <v>36</v>
      </c>
      <c r="K953" t="s">
        <v>30</v>
      </c>
      <c r="L953" t="s">
        <v>20</v>
      </c>
      <c r="M953" t="s">
        <v>21</v>
      </c>
      <c r="N953">
        <v>29577.599999999999</v>
      </c>
    </row>
    <row r="954" spans="1:14" x14ac:dyDescent="0.3">
      <c r="A954" t="s">
        <v>994</v>
      </c>
      <c r="B954" s="1">
        <v>45276</v>
      </c>
      <c r="C954" t="s">
        <v>26</v>
      </c>
      <c r="D954" t="s">
        <v>15</v>
      </c>
      <c r="E954" t="s">
        <v>16</v>
      </c>
      <c r="F954" t="s">
        <v>49</v>
      </c>
      <c r="G954">
        <v>7</v>
      </c>
      <c r="H954">
        <v>27773</v>
      </c>
      <c r="I954">
        <v>9720.5500000000011</v>
      </c>
      <c r="J954" t="s">
        <v>18</v>
      </c>
      <c r="K954" t="s">
        <v>19</v>
      </c>
      <c r="L954" t="s">
        <v>23</v>
      </c>
      <c r="M954" t="s">
        <v>33</v>
      </c>
      <c r="N954">
        <v>184690.44999999899</v>
      </c>
    </row>
    <row r="955" spans="1:14" x14ac:dyDescent="0.3">
      <c r="A955" t="s">
        <v>995</v>
      </c>
      <c r="B955" s="1">
        <v>45021</v>
      </c>
      <c r="C955" t="s">
        <v>32</v>
      </c>
      <c r="D955" t="s">
        <v>15</v>
      </c>
      <c r="E955" t="s">
        <v>44</v>
      </c>
      <c r="F955" t="s">
        <v>28</v>
      </c>
      <c r="G955">
        <v>2</v>
      </c>
      <c r="H955">
        <v>19387</v>
      </c>
      <c r="I955">
        <v>7754.8</v>
      </c>
      <c r="J955" t="s">
        <v>29</v>
      </c>
      <c r="K955" t="s">
        <v>19</v>
      </c>
      <c r="L955" t="s">
        <v>23</v>
      </c>
      <c r="M955" t="s">
        <v>21</v>
      </c>
      <c r="N955">
        <v>31019.200000000001</v>
      </c>
    </row>
    <row r="956" spans="1:14" x14ac:dyDescent="0.3">
      <c r="A956" t="s">
        <v>996</v>
      </c>
      <c r="B956" s="1">
        <v>45078</v>
      </c>
      <c r="C956" t="s">
        <v>26</v>
      </c>
      <c r="D956" t="s">
        <v>43</v>
      </c>
      <c r="E956" t="s">
        <v>44</v>
      </c>
      <c r="F956" t="s">
        <v>28</v>
      </c>
      <c r="G956">
        <v>2</v>
      </c>
      <c r="H956">
        <v>12157</v>
      </c>
      <c r="I956">
        <v>2431.4</v>
      </c>
      <c r="J956" t="s">
        <v>18</v>
      </c>
      <c r="K956" t="s">
        <v>41</v>
      </c>
      <c r="L956" t="s">
        <v>20</v>
      </c>
      <c r="M956" t="s">
        <v>24</v>
      </c>
      <c r="N956">
        <v>21882.6</v>
      </c>
    </row>
    <row r="957" spans="1:14" x14ac:dyDescent="0.3">
      <c r="A957" t="s">
        <v>997</v>
      </c>
      <c r="B957" s="1">
        <v>45237</v>
      </c>
      <c r="C957" t="s">
        <v>46</v>
      </c>
      <c r="D957" t="s">
        <v>43</v>
      </c>
      <c r="E957" t="s">
        <v>27</v>
      </c>
      <c r="F957" t="s">
        <v>47</v>
      </c>
      <c r="G957">
        <v>9</v>
      </c>
      <c r="H957">
        <v>4579</v>
      </c>
      <c r="I957">
        <v>2060.5500000000002</v>
      </c>
      <c r="J957" t="s">
        <v>50</v>
      </c>
      <c r="K957" t="s">
        <v>19</v>
      </c>
      <c r="L957" t="s">
        <v>20</v>
      </c>
      <c r="M957" t="s">
        <v>24</v>
      </c>
      <c r="N957">
        <v>39150.449999999997</v>
      </c>
    </row>
    <row r="958" spans="1:14" x14ac:dyDescent="0.3">
      <c r="A958" t="s">
        <v>998</v>
      </c>
      <c r="B958" s="1">
        <v>45063</v>
      </c>
      <c r="C958" t="s">
        <v>14</v>
      </c>
      <c r="D958" t="s">
        <v>43</v>
      </c>
      <c r="E958" t="s">
        <v>44</v>
      </c>
      <c r="F958" t="s">
        <v>35</v>
      </c>
      <c r="G958">
        <v>6</v>
      </c>
      <c r="H958">
        <v>28159</v>
      </c>
      <c r="I958">
        <v>0</v>
      </c>
      <c r="J958" t="s">
        <v>50</v>
      </c>
      <c r="K958" t="s">
        <v>19</v>
      </c>
      <c r="L958" t="s">
        <v>37</v>
      </c>
      <c r="M958" t="s">
        <v>33</v>
      </c>
      <c r="N958">
        <v>168954</v>
      </c>
    </row>
    <row r="959" spans="1:14" x14ac:dyDescent="0.3">
      <c r="A959" t="s">
        <v>999</v>
      </c>
      <c r="B959" s="1">
        <v>45173</v>
      </c>
      <c r="C959" t="s">
        <v>26</v>
      </c>
      <c r="D959" t="s">
        <v>40</v>
      </c>
      <c r="E959" t="s">
        <v>16</v>
      </c>
      <c r="F959" t="s">
        <v>49</v>
      </c>
      <c r="G959">
        <v>5</v>
      </c>
      <c r="H959">
        <v>16682</v>
      </c>
      <c r="I959">
        <v>0</v>
      </c>
      <c r="J959" t="s">
        <v>29</v>
      </c>
      <c r="K959" t="s">
        <v>30</v>
      </c>
      <c r="L959" t="s">
        <v>37</v>
      </c>
      <c r="M959" t="s">
        <v>24</v>
      </c>
      <c r="N959">
        <v>83410</v>
      </c>
    </row>
    <row r="960" spans="1:14" x14ac:dyDescent="0.3">
      <c r="A960" t="s">
        <v>1000</v>
      </c>
      <c r="B960" s="1">
        <v>45169</v>
      </c>
      <c r="C960" t="s">
        <v>46</v>
      </c>
      <c r="D960" t="s">
        <v>15</v>
      </c>
      <c r="E960" t="s">
        <v>27</v>
      </c>
      <c r="F960" t="s">
        <v>49</v>
      </c>
      <c r="G960">
        <v>6</v>
      </c>
      <c r="H960">
        <v>27305</v>
      </c>
      <c r="I960">
        <v>32766</v>
      </c>
      <c r="J960" t="s">
        <v>36</v>
      </c>
      <c r="K960" t="s">
        <v>30</v>
      </c>
      <c r="L960" t="s">
        <v>23</v>
      </c>
      <c r="M960" t="s">
        <v>21</v>
      </c>
      <c r="N960">
        <v>131064</v>
      </c>
    </row>
    <row r="961" spans="1:14" x14ac:dyDescent="0.3">
      <c r="A961" t="s">
        <v>1001</v>
      </c>
      <c r="B961" s="1">
        <v>44957</v>
      </c>
      <c r="C961" t="s">
        <v>26</v>
      </c>
      <c r="D961" t="s">
        <v>40</v>
      </c>
      <c r="E961" t="s">
        <v>27</v>
      </c>
      <c r="F961" t="s">
        <v>47</v>
      </c>
      <c r="G961">
        <v>9</v>
      </c>
      <c r="H961">
        <v>1077</v>
      </c>
      <c r="I961">
        <v>969.30000000000007</v>
      </c>
      <c r="J961" t="s">
        <v>50</v>
      </c>
      <c r="K961" t="s">
        <v>19</v>
      </c>
      <c r="L961" t="s">
        <v>37</v>
      </c>
      <c r="M961" t="s">
        <v>21</v>
      </c>
      <c r="N961">
        <v>8723.7000000000007</v>
      </c>
    </row>
    <row r="962" spans="1:14" x14ac:dyDescent="0.3">
      <c r="A962" t="s">
        <v>1002</v>
      </c>
      <c r="B962" s="1">
        <v>44966</v>
      </c>
      <c r="C962" t="s">
        <v>26</v>
      </c>
      <c r="D962" t="s">
        <v>43</v>
      </c>
      <c r="E962" t="s">
        <v>16</v>
      </c>
      <c r="F962" t="s">
        <v>47</v>
      </c>
      <c r="G962">
        <v>7</v>
      </c>
      <c r="H962">
        <v>48553</v>
      </c>
      <c r="I962">
        <v>16993.55</v>
      </c>
      <c r="J962" t="s">
        <v>18</v>
      </c>
      <c r="K962" t="s">
        <v>30</v>
      </c>
      <c r="L962" t="s">
        <v>23</v>
      </c>
      <c r="M962" t="s">
        <v>21</v>
      </c>
      <c r="N962">
        <v>322877.45</v>
      </c>
    </row>
    <row r="963" spans="1:14" x14ac:dyDescent="0.3">
      <c r="A963" t="s">
        <v>1003</v>
      </c>
      <c r="B963" s="1">
        <v>45155</v>
      </c>
      <c r="C963" t="s">
        <v>14</v>
      </c>
      <c r="D963" t="s">
        <v>40</v>
      </c>
      <c r="E963" t="s">
        <v>27</v>
      </c>
      <c r="F963" t="s">
        <v>35</v>
      </c>
      <c r="G963">
        <v>9</v>
      </c>
      <c r="H963">
        <v>18452</v>
      </c>
      <c r="I963">
        <v>8303.4</v>
      </c>
      <c r="J963" t="s">
        <v>18</v>
      </c>
      <c r="K963" t="s">
        <v>19</v>
      </c>
      <c r="L963" t="s">
        <v>23</v>
      </c>
      <c r="M963" t="s">
        <v>21</v>
      </c>
      <c r="N963">
        <v>157764.6</v>
      </c>
    </row>
    <row r="964" spans="1:14" x14ac:dyDescent="0.3">
      <c r="A964" t="s">
        <v>1004</v>
      </c>
      <c r="B964" s="1">
        <v>44962</v>
      </c>
      <c r="C964" t="s">
        <v>39</v>
      </c>
      <c r="D964" t="s">
        <v>15</v>
      </c>
      <c r="E964" t="s">
        <v>44</v>
      </c>
      <c r="F964" t="s">
        <v>35</v>
      </c>
      <c r="G964">
        <v>4</v>
      </c>
      <c r="H964">
        <v>31534</v>
      </c>
      <c r="I964">
        <v>0</v>
      </c>
      <c r="J964" t="s">
        <v>29</v>
      </c>
      <c r="K964" t="s">
        <v>41</v>
      </c>
      <c r="L964" t="s">
        <v>23</v>
      </c>
      <c r="M964" t="s">
        <v>21</v>
      </c>
      <c r="N964">
        <v>126136</v>
      </c>
    </row>
    <row r="965" spans="1:14" x14ac:dyDescent="0.3">
      <c r="A965" t="s">
        <v>1005</v>
      </c>
      <c r="B965" s="1">
        <v>45149</v>
      </c>
      <c r="C965" t="s">
        <v>39</v>
      </c>
      <c r="D965" t="s">
        <v>15</v>
      </c>
      <c r="E965" t="s">
        <v>44</v>
      </c>
      <c r="F965" t="s">
        <v>28</v>
      </c>
      <c r="G965">
        <v>2</v>
      </c>
      <c r="H965">
        <v>19249</v>
      </c>
      <c r="I965">
        <v>7699.6</v>
      </c>
      <c r="J965" t="s">
        <v>18</v>
      </c>
      <c r="K965" t="s">
        <v>30</v>
      </c>
      <c r="L965" t="s">
        <v>37</v>
      </c>
      <c r="M965" t="s">
        <v>33</v>
      </c>
      <c r="N965">
        <v>30798.400000000001</v>
      </c>
    </row>
    <row r="966" spans="1:14" x14ac:dyDescent="0.3">
      <c r="A966" t="s">
        <v>1006</v>
      </c>
      <c r="B966" s="1">
        <v>44932</v>
      </c>
      <c r="C966" t="s">
        <v>26</v>
      </c>
      <c r="D966" t="s">
        <v>43</v>
      </c>
      <c r="E966" t="s">
        <v>16</v>
      </c>
      <c r="F966" t="s">
        <v>49</v>
      </c>
      <c r="G966">
        <v>8</v>
      </c>
      <c r="H966">
        <v>17972</v>
      </c>
      <c r="I966">
        <v>0</v>
      </c>
      <c r="J966" t="s">
        <v>36</v>
      </c>
      <c r="K966" t="s">
        <v>19</v>
      </c>
      <c r="L966" t="s">
        <v>20</v>
      </c>
      <c r="M966" t="s">
        <v>21</v>
      </c>
      <c r="N966">
        <v>143776</v>
      </c>
    </row>
    <row r="967" spans="1:14" x14ac:dyDescent="0.3">
      <c r="A967" t="s">
        <v>1007</v>
      </c>
      <c r="B967" s="1">
        <v>45248</v>
      </c>
      <c r="C967" t="s">
        <v>32</v>
      </c>
      <c r="D967" t="s">
        <v>43</v>
      </c>
      <c r="E967" t="s">
        <v>44</v>
      </c>
      <c r="F967" t="s">
        <v>49</v>
      </c>
      <c r="G967">
        <v>4</v>
      </c>
      <c r="H967">
        <v>2837</v>
      </c>
      <c r="I967">
        <v>0</v>
      </c>
      <c r="J967" t="s">
        <v>50</v>
      </c>
      <c r="K967" t="s">
        <v>19</v>
      </c>
      <c r="L967" t="s">
        <v>20</v>
      </c>
      <c r="M967" t="s">
        <v>24</v>
      </c>
      <c r="N967">
        <v>11348</v>
      </c>
    </row>
    <row r="968" spans="1:14" x14ac:dyDescent="0.3">
      <c r="A968" t="s">
        <v>1008</v>
      </c>
      <c r="B968" s="1">
        <v>45146</v>
      </c>
      <c r="C968" t="s">
        <v>46</v>
      </c>
      <c r="D968" t="s">
        <v>40</v>
      </c>
      <c r="E968" t="s">
        <v>16</v>
      </c>
      <c r="F968" t="s">
        <v>47</v>
      </c>
      <c r="G968">
        <v>9</v>
      </c>
      <c r="H968">
        <v>7442</v>
      </c>
      <c r="I968">
        <v>13395.6</v>
      </c>
      <c r="J968" t="s">
        <v>18</v>
      </c>
      <c r="K968" t="s">
        <v>30</v>
      </c>
      <c r="L968" t="s">
        <v>37</v>
      </c>
      <c r="M968" t="s">
        <v>24</v>
      </c>
      <c r="N968">
        <v>53582.400000000001</v>
      </c>
    </row>
    <row r="969" spans="1:14" x14ac:dyDescent="0.3">
      <c r="A969" t="s">
        <v>1009</v>
      </c>
      <c r="B969" s="1">
        <v>45001</v>
      </c>
      <c r="C969" t="s">
        <v>32</v>
      </c>
      <c r="D969" t="s">
        <v>43</v>
      </c>
      <c r="E969" t="s">
        <v>16</v>
      </c>
      <c r="F969" t="s">
        <v>28</v>
      </c>
      <c r="G969">
        <v>4</v>
      </c>
      <c r="H969">
        <v>42225</v>
      </c>
      <c r="I969">
        <v>16890</v>
      </c>
      <c r="J969" t="s">
        <v>18</v>
      </c>
      <c r="K969" t="s">
        <v>30</v>
      </c>
      <c r="L969" t="s">
        <v>20</v>
      </c>
      <c r="M969" t="s">
        <v>24</v>
      </c>
      <c r="N969">
        <v>152010</v>
      </c>
    </row>
    <row r="970" spans="1:14" x14ac:dyDescent="0.3">
      <c r="A970" t="s">
        <v>1010</v>
      </c>
      <c r="B970" s="1">
        <v>44930</v>
      </c>
      <c r="C970" t="s">
        <v>32</v>
      </c>
      <c r="D970" t="s">
        <v>43</v>
      </c>
      <c r="E970" t="s">
        <v>44</v>
      </c>
      <c r="F970" t="s">
        <v>49</v>
      </c>
      <c r="G970">
        <v>8</v>
      </c>
      <c r="H970">
        <v>41581</v>
      </c>
      <c r="I970">
        <v>16632.400000000001</v>
      </c>
      <c r="J970" t="s">
        <v>50</v>
      </c>
      <c r="K970" t="s">
        <v>41</v>
      </c>
      <c r="L970" t="s">
        <v>23</v>
      </c>
      <c r="M970" t="s">
        <v>24</v>
      </c>
      <c r="N970">
        <v>316015.59999999998</v>
      </c>
    </row>
    <row r="971" spans="1:14" x14ac:dyDescent="0.3">
      <c r="A971" t="s">
        <v>1011</v>
      </c>
      <c r="B971" s="1">
        <v>45261</v>
      </c>
      <c r="C971" t="s">
        <v>26</v>
      </c>
      <c r="D971" t="s">
        <v>15</v>
      </c>
      <c r="E971" t="s">
        <v>16</v>
      </c>
      <c r="F971" t="s">
        <v>28</v>
      </c>
      <c r="G971">
        <v>9</v>
      </c>
      <c r="H971">
        <v>35851</v>
      </c>
      <c r="I971">
        <v>32265.9</v>
      </c>
      <c r="J971" t="s">
        <v>29</v>
      </c>
      <c r="K971" t="s">
        <v>19</v>
      </c>
      <c r="L971" t="s">
        <v>20</v>
      </c>
      <c r="M971" t="s">
        <v>33</v>
      </c>
      <c r="N971">
        <v>290393.09999999998</v>
      </c>
    </row>
    <row r="972" spans="1:14" x14ac:dyDescent="0.3">
      <c r="A972" t="s">
        <v>1012</v>
      </c>
      <c r="B972" s="1">
        <v>45060</v>
      </c>
      <c r="C972" t="s">
        <v>26</v>
      </c>
      <c r="D972" t="s">
        <v>43</v>
      </c>
      <c r="E972" t="s">
        <v>44</v>
      </c>
      <c r="F972" t="s">
        <v>28</v>
      </c>
      <c r="G972">
        <v>9</v>
      </c>
      <c r="H972">
        <v>34172</v>
      </c>
      <c r="I972">
        <v>46132.2</v>
      </c>
      <c r="J972" t="s">
        <v>18</v>
      </c>
      <c r="K972" t="s">
        <v>41</v>
      </c>
      <c r="L972" t="s">
        <v>37</v>
      </c>
      <c r="M972" t="s">
        <v>24</v>
      </c>
      <c r="N972">
        <v>261415.8</v>
      </c>
    </row>
    <row r="973" spans="1:14" x14ac:dyDescent="0.3">
      <c r="A973" t="s">
        <v>1013</v>
      </c>
      <c r="B973" s="1">
        <v>45044</v>
      </c>
      <c r="C973" t="s">
        <v>26</v>
      </c>
      <c r="D973" t="s">
        <v>43</v>
      </c>
      <c r="E973" t="s">
        <v>27</v>
      </c>
      <c r="F973" t="s">
        <v>47</v>
      </c>
      <c r="G973">
        <v>4</v>
      </c>
      <c r="H973">
        <v>17128</v>
      </c>
      <c r="I973">
        <v>10276.799999999999</v>
      </c>
      <c r="J973" t="s">
        <v>29</v>
      </c>
      <c r="K973" t="s">
        <v>41</v>
      </c>
      <c r="L973" t="s">
        <v>20</v>
      </c>
      <c r="M973" t="s">
        <v>33</v>
      </c>
      <c r="N973">
        <v>58235.199999999997</v>
      </c>
    </row>
    <row r="974" spans="1:14" x14ac:dyDescent="0.3">
      <c r="A974" t="s">
        <v>1014</v>
      </c>
      <c r="B974" s="1">
        <v>45020</v>
      </c>
      <c r="C974" t="s">
        <v>26</v>
      </c>
      <c r="D974" t="s">
        <v>15</v>
      </c>
      <c r="E974" t="s">
        <v>27</v>
      </c>
      <c r="F974" t="s">
        <v>28</v>
      </c>
      <c r="G974">
        <v>1</v>
      </c>
      <c r="H974">
        <v>28942</v>
      </c>
      <c r="I974">
        <v>4341.3</v>
      </c>
      <c r="J974" t="s">
        <v>29</v>
      </c>
      <c r="K974" t="s">
        <v>41</v>
      </c>
      <c r="L974" t="s">
        <v>23</v>
      </c>
      <c r="M974" t="s">
        <v>24</v>
      </c>
      <c r="N974">
        <v>24600.7</v>
      </c>
    </row>
    <row r="975" spans="1:14" x14ac:dyDescent="0.3">
      <c r="A975" t="s">
        <v>1015</v>
      </c>
      <c r="B975" s="1">
        <v>44988</v>
      </c>
      <c r="C975" t="s">
        <v>39</v>
      </c>
      <c r="D975" t="s">
        <v>15</v>
      </c>
      <c r="E975" t="s">
        <v>16</v>
      </c>
      <c r="F975" t="s">
        <v>35</v>
      </c>
      <c r="G975">
        <v>3</v>
      </c>
      <c r="H975">
        <v>12031</v>
      </c>
      <c r="I975">
        <v>7218.6</v>
      </c>
      <c r="J975" t="s">
        <v>18</v>
      </c>
      <c r="K975" t="s">
        <v>30</v>
      </c>
      <c r="L975" t="s">
        <v>23</v>
      </c>
      <c r="M975" t="s">
        <v>33</v>
      </c>
      <c r="N975">
        <v>28874.400000000001</v>
      </c>
    </row>
    <row r="976" spans="1:14" x14ac:dyDescent="0.3">
      <c r="A976" t="s">
        <v>1016</v>
      </c>
      <c r="B976" s="1">
        <v>45120</v>
      </c>
      <c r="C976" t="s">
        <v>26</v>
      </c>
      <c r="D976" t="s">
        <v>40</v>
      </c>
      <c r="E976" t="s">
        <v>44</v>
      </c>
      <c r="F976" t="s">
        <v>35</v>
      </c>
      <c r="G976">
        <v>9</v>
      </c>
      <c r="H976">
        <v>48432</v>
      </c>
      <c r="I976">
        <v>0</v>
      </c>
      <c r="J976" t="s">
        <v>36</v>
      </c>
      <c r="K976" t="s">
        <v>41</v>
      </c>
      <c r="L976" t="s">
        <v>37</v>
      </c>
      <c r="M976" t="s">
        <v>33</v>
      </c>
      <c r="N976">
        <v>435888</v>
      </c>
    </row>
    <row r="977" spans="1:14" x14ac:dyDescent="0.3">
      <c r="A977" t="s">
        <v>1017</v>
      </c>
      <c r="B977" s="1">
        <v>45261</v>
      </c>
      <c r="C977" t="s">
        <v>39</v>
      </c>
      <c r="D977" t="s">
        <v>43</v>
      </c>
      <c r="E977" t="s">
        <v>44</v>
      </c>
      <c r="F977" t="s">
        <v>17</v>
      </c>
      <c r="G977">
        <v>4</v>
      </c>
      <c r="H977">
        <v>19756</v>
      </c>
      <c r="I977">
        <v>7902.4000000000005</v>
      </c>
      <c r="J977" t="s">
        <v>29</v>
      </c>
      <c r="K977" t="s">
        <v>30</v>
      </c>
      <c r="L977" t="s">
        <v>37</v>
      </c>
      <c r="M977" t="s">
        <v>33</v>
      </c>
      <c r="N977">
        <v>71121.600000000006</v>
      </c>
    </row>
    <row r="978" spans="1:14" x14ac:dyDescent="0.3">
      <c r="A978" t="s">
        <v>1018</v>
      </c>
      <c r="B978" s="1">
        <v>45129</v>
      </c>
      <c r="C978" t="s">
        <v>39</v>
      </c>
      <c r="D978" t="s">
        <v>15</v>
      </c>
      <c r="E978" t="s">
        <v>27</v>
      </c>
      <c r="F978" t="s">
        <v>47</v>
      </c>
      <c r="G978">
        <v>5</v>
      </c>
      <c r="H978">
        <v>25543</v>
      </c>
      <c r="I978">
        <v>6385.75</v>
      </c>
      <c r="J978" t="s">
        <v>18</v>
      </c>
      <c r="K978" t="s">
        <v>30</v>
      </c>
      <c r="L978" t="s">
        <v>37</v>
      </c>
      <c r="M978" t="s">
        <v>24</v>
      </c>
      <c r="N978">
        <v>121329.25</v>
      </c>
    </row>
    <row r="979" spans="1:14" x14ac:dyDescent="0.3">
      <c r="A979" t="s">
        <v>1019</v>
      </c>
      <c r="B979" s="1">
        <v>44952</v>
      </c>
      <c r="C979" t="s">
        <v>26</v>
      </c>
      <c r="D979" t="s">
        <v>40</v>
      </c>
      <c r="E979" t="s">
        <v>27</v>
      </c>
      <c r="F979" t="s">
        <v>17</v>
      </c>
      <c r="G979">
        <v>7</v>
      </c>
      <c r="H979">
        <v>23034</v>
      </c>
      <c r="I979">
        <v>24185.7</v>
      </c>
      <c r="J979" t="s">
        <v>29</v>
      </c>
      <c r="K979" t="s">
        <v>41</v>
      </c>
      <c r="L979" t="s">
        <v>23</v>
      </c>
      <c r="M979" t="s">
        <v>33</v>
      </c>
      <c r="N979">
        <v>137052.29999999999</v>
      </c>
    </row>
    <row r="980" spans="1:14" x14ac:dyDescent="0.3">
      <c r="A980" t="s">
        <v>1020</v>
      </c>
      <c r="B980" s="1">
        <v>45099</v>
      </c>
      <c r="C980" t="s">
        <v>14</v>
      </c>
      <c r="D980" t="s">
        <v>40</v>
      </c>
      <c r="E980" t="s">
        <v>44</v>
      </c>
      <c r="F980" t="s">
        <v>35</v>
      </c>
      <c r="G980">
        <v>5</v>
      </c>
      <c r="H980">
        <v>46962</v>
      </c>
      <c r="I980">
        <v>23481</v>
      </c>
      <c r="J980" t="s">
        <v>50</v>
      </c>
      <c r="K980" t="s">
        <v>41</v>
      </c>
      <c r="L980" t="s">
        <v>20</v>
      </c>
      <c r="M980" t="s">
        <v>21</v>
      </c>
      <c r="N980">
        <v>211329</v>
      </c>
    </row>
    <row r="981" spans="1:14" x14ac:dyDescent="0.3">
      <c r="A981" t="s">
        <v>1021</v>
      </c>
      <c r="B981" s="1">
        <v>45226</v>
      </c>
      <c r="C981" t="s">
        <v>46</v>
      </c>
      <c r="D981" t="s">
        <v>43</v>
      </c>
      <c r="E981" t="s">
        <v>16</v>
      </c>
      <c r="F981" t="s">
        <v>17</v>
      </c>
      <c r="G981">
        <v>4</v>
      </c>
      <c r="H981">
        <v>39488</v>
      </c>
      <c r="I981">
        <v>23692.799999999999</v>
      </c>
      <c r="J981" t="s">
        <v>36</v>
      </c>
      <c r="K981" t="s">
        <v>19</v>
      </c>
      <c r="L981" t="s">
        <v>20</v>
      </c>
      <c r="M981" t="s">
        <v>21</v>
      </c>
      <c r="N981">
        <v>134259.19999999899</v>
      </c>
    </row>
    <row r="982" spans="1:14" x14ac:dyDescent="0.3">
      <c r="A982" t="s">
        <v>1022</v>
      </c>
      <c r="B982" s="1">
        <v>45059</v>
      </c>
      <c r="C982" t="s">
        <v>32</v>
      </c>
      <c r="D982" t="s">
        <v>43</v>
      </c>
      <c r="E982" t="s">
        <v>27</v>
      </c>
      <c r="F982" t="s">
        <v>47</v>
      </c>
      <c r="G982">
        <v>2</v>
      </c>
      <c r="H982">
        <v>33622</v>
      </c>
      <c r="I982">
        <v>10086.6</v>
      </c>
      <c r="J982" t="s">
        <v>36</v>
      </c>
      <c r="K982" t="s">
        <v>41</v>
      </c>
      <c r="L982" t="s">
        <v>37</v>
      </c>
      <c r="M982" t="s">
        <v>24</v>
      </c>
      <c r="N982">
        <v>57157.4</v>
      </c>
    </row>
    <row r="983" spans="1:14" x14ac:dyDescent="0.3">
      <c r="A983" t="s">
        <v>1023</v>
      </c>
      <c r="B983" s="1">
        <v>45252</v>
      </c>
      <c r="C983" t="s">
        <v>39</v>
      </c>
      <c r="D983" t="s">
        <v>40</v>
      </c>
      <c r="E983" t="s">
        <v>16</v>
      </c>
      <c r="F983" t="s">
        <v>47</v>
      </c>
      <c r="G983">
        <v>2</v>
      </c>
      <c r="H983">
        <v>23405</v>
      </c>
      <c r="I983">
        <v>2340.5</v>
      </c>
      <c r="J983" t="s">
        <v>50</v>
      </c>
      <c r="K983" t="s">
        <v>19</v>
      </c>
      <c r="L983" t="s">
        <v>20</v>
      </c>
      <c r="M983" t="s">
        <v>21</v>
      </c>
      <c r="N983">
        <v>44469.5</v>
      </c>
    </row>
    <row r="984" spans="1:14" x14ac:dyDescent="0.3">
      <c r="A984" t="s">
        <v>1024</v>
      </c>
      <c r="B984" s="1">
        <v>45044</v>
      </c>
      <c r="C984" t="s">
        <v>46</v>
      </c>
      <c r="D984" t="s">
        <v>15</v>
      </c>
      <c r="E984" t="s">
        <v>16</v>
      </c>
      <c r="F984" t="s">
        <v>28</v>
      </c>
      <c r="G984">
        <v>4</v>
      </c>
      <c r="H984">
        <v>19030</v>
      </c>
      <c r="I984">
        <v>15224</v>
      </c>
      <c r="J984" t="s">
        <v>50</v>
      </c>
      <c r="K984" t="s">
        <v>41</v>
      </c>
      <c r="L984" t="s">
        <v>20</v>
      </c>
      <c r="M984" t="s">
        <v>21</v>
      </c>
      <c r="N984">
        <v>60896</v>
      </c>
    </row>
    <row r="985" spans="1:14" x14ac:dyDescent="0.3">
      <c r="A985" t="s">
        <v>1025</v>
      </c>
      <c r="B985" s="1">
        <v>45250</v>
      </c>
      <c r="C985" t="s">
        <v>14</v>
      </c>
      <c r="D985" t="s">
        <v>40</v>
      </c>
      <c r="E985" t="s">
        <v>27</v>
      </c>
      <c r="F985" t="s">
        <v>49</v>
      </c>
      <c r="G985">
        <v>9</v>
      </c>
      <c r="H985">
        <v>8612</v>
      </c>
      <c r="I985">
        <v>0</v>
      </c>
      <c r="J985" t="s">
        <v>29</v>
      </c>
      <c r="K985" t="s">
        <v>41</v>
      </c>
      <c r="L985" t="s">
        <v>37</v>
      </c>
      <c r="M985" t="s">
        <v>21</v>
      </c>
      <c r="N985">
        <v>77508</v>
      </c>
    </row>
    <row r="986" spans="1:14" x14ac:dyDescent="0.3">
      <c r="A986" t="s">
        <v>1026</v>
      </c>
      <c r="B986" s="1">
        <v>45201</v>
      </c>
      <c r="C986" t="s">
        <v>32</v>
      </c>
      <c r="D986" t="s">
        <v>43</v>
      </c>
      <c r="E986" t="s">
        <v>16</v>
      </c>
      <c r="F986" t="s">
        <v>28</v>
      </c>
      <c r="G986">
        <v>8</v>
      </c>
      <c r="H986">
        <v>3866</v>
      </c>
      <c r="I986">
        <v>6185.6</v>
      </c>
      <c r="J986" t="s">
        <v>50</v>
      </c>
      <c r="K986" t="s">
        <v>41</v>
      </c>
      <c r="L986" t="s">
        <v>37</v>
      </c>
      <c r="M986" t="s">
        <v>24</v>
      </c>
      <c r="N986">
        <v>24742.400000000001</v>
      </c>
    </row>
    <row r="987" spans="1:14" x14ac:dyDescent="0.3">
      <c r="A987" t="s">
        <v>1027</v>
      </c>
      <c r="B987" s="1">
        <v>45138</v>
      </c>
      <c r="C987" t="s">
        <v>32</v>
      </c>
      <c r="D987" t="s">
        <v>15</v>
      </c>
      <c r="E987" t="s">
        <v>16</v>
      </c>
      <c r="F987" t="s">
        <v>47</v>
      </c>
      <c r="G987">
        <v>3</v>
      </c>
      <c r="H987">
        <v>37245</v>
      </c>
      <c r="I987">
        <v>11173.5</v>
      </c>
      <c r="J987" t="s">
        <v>36</v>
      </c>
      <c r="K987" t="s">
        <v>41</v>
      </c>
      <c r="L987" t="s">
        <v>23</v>
      </c>
      <c r="M987" t="s">
        <v>24</v>
      </c>
      <c r="N987">
        <v>100561.5</v>
      </c>
    </row>
    <row r="988" spans="1:14" x14ac:dyDescent="0.3">
      <c r="A988" t="s">
        <v>1028</v>
      </c>
      <c r="B988" s="1">
        <v>45151</v>
      </c>
      <c r="C988" t="s">
        <v>39</v>
      </c>
      <c r="D988" t="s">
        <v>15</v>
      </c>
      <c r="E988" t="s">
        <v>44</v>
      </c>
      <c r="F988" t="s">
        <v>35</v>
      </c>
      <c r="G988">
        <v>9</v>
      </c>
      <c r="H988">
        <v>20986</v>
      </c>
      <c r="I988">
        <v>37774.800000000003</v>
      </c>
      <c r="J988" t="s">
        <v>50</v>
      </c>
      <c r="K988" t="s">
        <v>19</v>
      </c>
      <c r="L988" t="s">
        <v>23</v>
      </c>
      <c r="M988" t="s">
        <v>21</v>
      </c>
      <c r="N988">
        <v>151099.20000000001</v>
      </c>
    </row>
    <row r="989" spans="1:14" x14ac:dyDescent="0.3">
      <c r="A989" t="s">
        <v>1029</v>
      </c>
      <c r="B989" s="1">
        <v>44946</v>
      </c>
      <c r="C989" t="s">
        <v>26</v>
      </c>
      <c r="D989" t="s">
        <v>40</v>
      </c>
      <c r="E989" t="s">
        <v>16</v>
      </c>
      <c r="F989" t="s">
        <v>35</v>
      </c>
      <c r="G989">
        <v>5</v>
      </c>
      <c r="H989">
        <v>5715</v>
      </c>
      <c r="I989">
        <v>2857.5</v>
      </c>
      <c r="J989" t="s">
        <v>18</v>
      </c>
      <c r="K989" t="s">
        <v>19</v>
      </c>
      <c r="L989" t="s">
        <v>23</v>
      </c>
      <c r="M989" t="s">
        <v>24</v>
      </c>
      <c r="N989">
        <v>25717.5</v>
      </c>
    </row>
    <row r="990" spans="1:14" x14ac:dyDescent="0.3">
      <c r="A990" t="s">
        <v>1030</v>
      </c>
      <c r="B990" s="1">
        <v>45039</v>
      </c>
      <c r="C990" t="s">
        <v>14</v>
      </c>
      <c r="D990" t="s">
        <v>43</v>
      </c>
      <c r="E990" t="s">
        <v>44</v>
      </c>
      <c r="F990" t="s">
        <v>28</v>
      </c>
      <c r="G990">
        <v>3</v>
      </c>
      <c r="H990">
        <v>42173</v>
      </c>
      <c r="I990">
        <v>12651.900000000001</v>
      </c>
      <c r="J990" t="s">
        <v>18</v>
      </c>
      <c r="K990" t="s">
        <v>41</v>
      </c>
      <c r="L990" t="s">
        <v>23</v>
      </c>
      <c r="M990" t="s">
        <v>33</v>
      </c>
      <c r="N990">
        <v>113867.1</v>
      </c>
    </row>
    <row r="991" spans="1:14" x14ac:dyDescent="0.3">
      <c r="A991" t="s">
        <v>1031</v>
      </c>
      <c r="B991" s="1">
        <v>45066</v>
      </c>
      <c r="C991" t="s">
        <v>39</v>
      </c>
      <c r="D991" t="s">
        <v>40</v>
      </c>
      <c r="E991" t="s">
        <v>27</v>
      </c>
      <c r="F991" t="s">
        <v>47</v>
      </c>
      <c r="G991">
        <v>5</v>
      </c>
      <c r="H991">
        <v>26827</v>
      </c>
      <c r="I991">
        <v>0</v>
      </c>
      <c r="J991" t="s">
        <v>29</v>
      </c>
      <c r="K991" t="s">
        <v>41</v>
      </c>
      <c r="L991" t="s">
        <v>20</v>
      </c>
      <c r="M991" t="s">
        <v>21</v>
      </c>
      <c r="N991">
        <v>134135</v>
      </c>
    </row>
    <row r="992" spans="1:14" x14ac:dyDescent="0.3">
      <c r="A992" t="s">
        <v>1032</v>
      </c>
      <c r="B992" s="1">
        <v>44973</v>
      </c>
      <c r="C992" t="s">
        <v>14</v>
      </c>
      <c r="D992" t="s">
        <v>40</v>
      </c>
      <c r="E992" t="s">
        <v>27</v>
      </c>
      <c r="F992" t="s">
        <v>35</v>
      </c>
      <c r="G992">
        <v>4</v>
      </c>
      <c r="H992">
        <v>15398</v>
      </c>
      <c r="I992">
        <v>3079.6000000000004</v>
      </c>
      <c r="J992" t="s">
        <v>36</v>
      </c>
      <c r="K992" t="s">
        <v>19</v>
      </c>
      <c r="L992" t="s">
        <v>20</v>
      </c>
      <c r="M992" t="s">
        <v>24</v>
      </c>
      <c r="N992">
        <v>58512.3999999999</v>
      </c>
    </row>
    <row r="993" spans="1:14" x14ac:dyDescent="0.3">
      <c r="A993" t="s">
        <v>1033</v>
      </c>
      <c r="B993" s="1">
        <v>44927</v>
      </c>
      <c r="C993" t="s">
        <v>26</v>
      </c>
      <c r="D993" t="s">
        <v>40</v>
      </c>
      <c r="E993" t="s">
        <v>44</v>
      </c>
      <c r="F993" t="s">
        <v>47</v>
      </c>
      <c r="G993">
        <v>8</v>
      </c>
      <c r="H993">
        <v>4185</v>
      </c>
      <c r="I993">
        <v>0</v>
      </c>
      <c r="J993" t="s">
        <v>18</v>
      </c>
      <c r="K993" t="s">
        <v>30</v>
      </c>
      <c r="L993" t="s">
        <v>23</v>
      </c>
      <c r="M993" t="s">
        <v>24</v>
      </c>
      <c r="N993">
        <v>33480</v>
      </c>
    </row>
    <row r="994" spans="1:14" x14ac:dyDescent="0.3">
      <c r="A994" t="s">
        <v>1034</v>
      </c>
      <c r="B994" s="1">
        <v>45016</v>
      </c>
      <c r="C994" t="s">
        <v>26</v>
      </c>
      <c r="D994" t="s">
        <v>15</v>
      </c>
      <c r="E994" t="s">
        <v>27</v>
      </c>
      <c r="F994" t="s">
        <v>35</v>
      </c>
      <c r="G994">
        <v>5</v>
      </c>
      <c r="H994">
        <v>46103</v>
      </c>
      <c r="I994">
        <v>46103</v>
      </c>
      <c r="J994" t="s">
        <v>50</v>
      </c>
      <c r="K994" t="s">
        <v>30</v>
      </c>
      <c r="L994" t="s">
        <v>23</v>
      </c>
      <c r="M994" t="s">
        <v>21</v>
      </c>
      <c r="N994">
        <v>184412</v>
      </c>
    </row>
    <row r="995" spans="1:14" x14ac:dyDescent="0.3">
      <c r="A995" t="s">
        <v>1035</v>
      </c>
      <c r="B995" s="1">
        <v>45068</v>
      </c>
      <c r="C995" t="s">
        <v>39</v>
      </c>
      <c r="D995" t="s">
        <v>15</v>
      </c>
      <c r="E995" t="s">
        <v>16</v>
      </c>
      <c r="F995" t="s">
        <v>47</v>
      </c>
      <c r="G995">
        <v>8</v>
      </c>
      <c r="H995">
        <v>41135</v>
      </c>
      <c r="I995">
        <v>32908</v>
      </c>
      <c r="J995" t="s">
        <v>18</v>
      </c>
      <c r="K995" t="s">
        <v>30</v>
      </c>
      <c r="L995" t="s">
        <v>37</v>
      </c>
      <c r="M995" t="s">
        <v>24</v>
      </c>
      <c r="N995">
        <v>296172</v>
      </c>
    </row>
    <row r="996" spans="1:14" x14ac:dyDescent="0.3">
      <c r="A996" t="s">
        <v>1036</v>
      </c>
      <c r="B996" s="1">
        <v>45246</v>
      </c>
      <c r="C996" t="s">
        <v>26</v>
      </c>
      <c r="D996" t="s">
        <v>43</v>
      </c>
      <c r="E996" t="s">
        <v>16</v>
      </c>
      <c r="F996" t="s">
        <v>17</v>
      </c>
      <c r="G996">
        <v>9</v>
      </c>
      <c r="H996">
        <v>29675</v>
      </c>
      <c r="I996">
        <v>40061.25</v>
      </c>
      <c r="J996" t="s">
        <v>18</v>
      </c>
      <c r="K996" t="s">
        <v>19</v>
      </c>
      <c r="L996" t="s">
        <v>20</v>
      </c>
      <c r="M996" t="s">
        <v>21</v>
      </c>
      <c r="N996">
        <v>227013.75</v>
      </c>
    </row>
    <row r="997" spans="1:14" x14ac:dyDescent="0.3">
      <c r="A997" t="s">
        <v>1037</v>
      </c>
      <c r="B997" s="1">
        <v>44964</v>
      </c>
      <c r="C997" t="s">
        <v>46</v>
      </c>
      <c r="D997" t="s">
        <v>43</v>
      </c>
      <c r="E997" t="s">
        <v>16</v>
      </c>
      <c r="F997" t="s">
        <v>47</v>
      </c>
      <c r="G997">
        <v>4</v>
      </c>
      <c r="H997">
        <v>40416</v>
      </c>
      <c r="I997">
        <v>24249.599999999999</v>
      </c>
      <c r="J997" t="s">
        <v>29</v>
      </c>
      <c r="K997" t="s">
        <v>19</v>
      </c>
      <c r="L997" t="s">
        <v>20</v>
      </c>
      <c r="M997" t="s">
        <v>24</v>
      </c>
      <c r="N997">
        <v>137414.39999999999</v>
      </c>
    </row>
    <row r="998" spans="1:14" x14ac:dyDescent="0.3">
      <c r="A998" t="s">
        <v>1038</v>
      </c>
      <c r="B998" s="1">
        <v>45219</v>
      </c>
      <c r="C998" t="s">
        <v>32</v>
      </c>
      <c r="D998" t="s">
        <v>40</v>
      </c>
      <c r="E998" t="s">
        <v>27</v>
      </c>
      <c r="F998" t="s">
        <v>47</v>
      </c>
      <c r="G998">
        <v>7</v>
      </c>
      <c r="H998">
        <v>19603</v>
      </c>
      <c r="I998">
        <v>13722.1</v>
      </c>
      <c r="J998" t="s">
        <v>50</v>
      </c>
      <c r="K998" t="s">
        <v>30</v>
      </c>
      <c r="L998" t="s">
        <v>23</v>
      </c>
      <c r="M998" t="s">
        <v>33</v>
      </c>
      <c r="N998">
        <v>123498.9</v>
      </c>
    </row>
    <row r="999" spans="1:14" x14ac:dyDescent="0.3">
      <c r="A999" t="s">
        <v>1039</v>
      </c>
      <c r="B999" s="1">
        <v>45065</v>
      </c>
      <c r="C999" t="s">
        <v>39</v>
      </c>
      <c r="D999" t="s">
        <v>40</v>
      </c>
      <c r="E999" t="s">
        <v>16</v>
      </c>
      <c r="F999" t="s">
        <v>28</v>
      </c>
      <c r="G999">
        <v>2</v>
      </c>
      <c r="H999">
        <v>3881</v>
      </c>
      <c r="I999">
        <v>0</v>
      </c>
      <c r="J999" t="s">
        <v>50</v>
      </c>
      <c r="K999" t="s">
        <v>30</v>
      </c>
      <c r="L999" t="s">
        <v>20</v>
      </c>
      <c r="M999" t="s">
        <v>21</v>
      </c>
      <c r="N999">
        <v>7762</v>
      </c>
    </row>
    <row r="1000" spans="1:14" x14ac:dyDescent="0.3">
      <c r="A1000" t="s">
        <v>1040</v>
      </c>
      <c r="B1000" s="1">
        <v>45282</v>
      </c>
      <c r="C1000" t="s">
        <v>14</v>
      </c>
      <c r="D1000" t="s">
        <v>40</v>
      </c>
      <c r="E1000" t="s">
        <v>27</v>
      </c>
      <c r="F1000" t="s">
        <v>17</v>
      </c>
      <c r="G1000">
        <v>6</v>
      </c>
      <c r="H1000">
        <v>26219</v>
      </c>
      <c r="I1000">
        <v>7865.7000000000007</v>
      </c>
      <c r="J1000" t="s">
        <v>50</v>
      </c>
      <c r="K1000" t="s">
        <v>41</v>
      </c>
      <c r="L1000" t="s">
        <v>37</v>
      </c>
      <c r="M1000" t="s">
        <v>33</v>
      </c>
      <c r="N1000">
        <v>149448.29999999999</v>
      </c>
    </row>
    <row r="1001" spans="1:14" x14ac:dyDescent="0.3">
      <c r="A1001" t="s">
        <v>1041</v>
      </c>
      <c r="B1001" s="1">
        <v>45259</v>
      </c>
      <c r="C1001" t="s">
        <v>46</v>
      </c>
      <c r="D1001" t="s">
        <v>43</v>
      </c>
      <c r="E1001" t="s">
        <v>16</v>
      </c>
      <c r="F1001" t="s">
        <v>49</v>
      </c>
      <c r="G1001">
        <v>8</v>
      </c>
      <c r="H1001">
        <v>27786</v>
      </c>
      <c r="I1001">
        <v>0</v>
      </c>
      <c r="J1001" t="s">
        <v>29</v>
      </c>
      <c r="K1001" t="s">
        <v>19</v>
      </c>
      <c r="L1001" t="s">
        <v>37</v>
      </c>
      <c r="M1001" t="s">
        <v>21</v>
      </c>
      <c r="N1001">
        <v>222288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KPI</vt:lpstr>
      <vt:lpstr>Dashboard</vt:lpstr>
      <vt:lpstr>Excel_Interview_Practice_Datase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dc:creator>
  <cp:lastModifiedBy>MUKESH KUMAR BEHERA</cp:lastModifiedBy>
  <dcterms:created xsi:type="dcterms:W3CDTF">2026-01-26T13:16:05Z</dcterms:created>
  <dcterms:modified xsi:type="dcterms:W3CDTF">2026-01-26T13:30:47Z</dcterms:modified>
</cp:coreProperties>
</file>